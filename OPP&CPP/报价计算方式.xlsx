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Ai项目\世科报价系统\OPP&amp;CPP\"/>
    </mc:Choice>
  </mc:AlternateContent>
  <xr:revisionPtr revIDLastSave="0" documentId="13_ncr:1_{BC145C9C-8EAC-4440-9708-790A28AABD9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原材料成本计算方法" sheetId="16" r:id="rId1"/>
    <sheet name="Sheet1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6" l="1"/>
  <c r="B12" i="16"/>
  <c r="B11" i="16"/>
  <c r="B24" i="16" s="1"/>
  <c r="B10" i="16"/>
  <c r="B23" i="16" s="1"/>
  <c r="B14" i="16"/>
  <c r="B27" i="16" s="1"/>
  <c r="B13" i="16"/>
  <c r="B26" i="16" s="1"/>
  <c r="B28" i="16" l="1"/>
</calcChain>
</file>

<file path=xl/sharedStrings.xml><?xml version="1.0" encoding="utf-8"?>
<sst xmlns="http://schemas.openxmlformats.org/spreadsheetml/2006/main" count="40" uniqueCount="37">
  <si>
    <t>长（mm)</t>
    <phoneticPr fontId="3" type="noConversion"/>
  </si>
  <si>
    <t>宽（mm)</t>
    <phoneticPr fontId="3" type="noConversion"/>
  </si>
  <si>
    <t>厚度（mm)</t>
    <phoneticPr fontId="3" type="noConversion"/>
  </si>
  <si>
    <t>包装方式</t>
    <phoneticPr fontId="3" type="noConversion"/>
  </si>
  <si>
    <t>箱入数</t>
    <phoneticPr fontId="3" type="noConversion"/>
  </si>
  <si>
    <t>需要输入的信息</t>
    <phoneticPr fontId="3" type="noConversion"/>
  </si>
  <si>
    <t>产品信息</t>
    <phoneticPr fontId="3" type="noConversion"/>
  </si>
  <si>
    <t>物料价格</t>
    <phoneticPr fontId="3" type="noConversion"/>
  </si>
  <si>
    <t>元/吨</t>
    <phoneticPr fontId="3" type="noConversion"/>
  </si>
  <si>
    <t>元/个</t>
    <phoneticPr fontId="3" type="noConversion"/>
  </si>
  <si>
    <t>袋本体原料成本</t>
    <phoneticPr fontId="3" type="noConversion"/>
  </si>
  <si>
    <t>每个袋子摊纸箱成本</t>
    <phoneticPr fontId="3" type="noConversion"/>
  </si>
  <si>
    <t>合计成本</t>
    <phoneticPr fontId="3" type="noConversion"/>
  </si>
  <si>
    <t>袋装</t>
  </si>
  <si>
    <t>是否插底</t>
    <phoneticPr fontId="3" type="noConversion"/>
  </si>
  <si>
    <t>否</t>
  </si>
  <si>
    <t>插底长度</t>
    <phoneticPr fontId="3" type="noConversion"/>
  </si>
  <si>
    <t>是否粘胶条</t>
    <phoneticPr fontId="3" type="noConversion"/>
  </si>
  <si>
    <t>Lid(mm)</t>
    <phoneticPr fontId="3" type="noConversion"/>
  </si>
  <si>
    <t>单耗</t>
    <phoneticPr fontId="3" type="noConversion"/>
  </si>
  <si>
    <t>OPP/CPP膜</t>
    <phoneticPr fontId="3" type="noConversion"/>
  </si>
  <si>
    <t>0.00091为比重</t>
    <phoneticPr fontId="3" type="noConversion"/>
  </si>
  <si>
    <t>OPP/CPP膜（g)</t>
    <phoneticPr fontId="3" type="noConversion"/>
  </si>
  <si>
    <t>胶条（m)</t>
    <phoneticPr fontId="3" type="noConversion"/>
  </si>
  <si>
    <t>防尘袋</t>
    <phoneticPr fontId="3" type="noConversion"/>
  </si>
  <si>
    <t>纸箱</t>
    <phoneticPr fontId="3" type="noConversion"/>
  </si>
  <si>
    <t>包装袋（个）</t>
    <phoneticPr fontId="3" type="noConversion"/>
  </si>
  <si>
    <t>防尘袋（个）</t>
    <phoneticPr fontId="3" type="noConversion"/>
  </si>
  <si>
    <t>纸箱（个）</t>
    <phoneticPr fontId="3" type="noConversion"/>
  </si>
  <si>
    <t>胶条</t>
    <phoneticPr fontId="3" type="noConversion"/>
  </si>
  <si>
    <t>10000米的价格</t>
    <phoneticPr fontId="3" type="noConversion"/>
  </si>
  <si>
    <t>包装袋（含标签）</t>
    <phoneticPr fontId="3" type="noConversion"/>
  </si>
  <si>
    <t>成本计算</t>
    <phoneticPr fontId="3" type="noConversion"/>
  </si>
  <si>
    <t>胶条成本</t>
    <phoneticPr fontId="3" type="noConversion"/>
  </si>
  <si>
    <t>每个袋子摊包装袋成本</t>
    <phoneticPr fontId="3" type="noConversion"/>
  </si>
  <si>
    <t>每个袋子摊防尘袋成本</t>
    <phoneticPr fontId="3" type="noConversion"/>
  </si>
  <si>
    <t>袋入数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</si>
</sst>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83AD-8CB7-4F0C-A681-D6779EC3025D}">
  <dimension ref="A1:H28"/>
  <sheetViews>
    <sheetView tabSelected="1" workbookViewId="0">
      <selection activeCell="B28" sqref="B28"/>
    </sheetView>
  </sheetViews>
  <sheetFormatPr defaultRowHeight="13.5" x14ac:dyDescent="0.3"/>
  <cols>
    <col min="1" max="1" width="20.6640625" customWidth="1"/>
    <col min="2" max="2" width="14.265625" customWidth="1"/>
    <col min="3" max="3" width="38.1328125" customWidth="1"/>
    <col min="4" max="4" width="18.6640625" customWidth="1"/>
    <col min="5" max="6" width="9.73046875" customWidth="1"/>
    <col min="7" max="7" width="15.1328125" customWidth="1"/>
    <col min="8" max="8" width="20.265625" customWidth="1"/>
  </cols>
  <sheetData>
    <row r="1" spans="1:8" x14ac:dyDescent="0.3">
      <c r="A1" s="13" t="s">
        <v>5</v>
      </c>
      <c r="B1" s="13"/>
      <c r="C1" s="13"/>
      <c r="D1" s="13"/>
    </row>
    <row r="2" spans="1:8" x14ac:dyDescent="0.3">
      <c r="A2" s="13"/>
      <c r="B2" s="13"/>
      <c r="C2" s="13"/>
      <c r="D2" s="13"/>
    </row>
    <row r="3" spans="1:8" ht="25.15" customHeight="1" x14ac:dyDescent="0.3">
      <c r="A3" s="12" t="s">
        <v>6</v>
      </c>
      <c r="B3" s="12"/>
      <c r="C3" s="12"/>
      <c r="D3" s="12"/>
    </row>
    <row r="4" spans="1:8" ht="13.5" customHeight="1" x14ac:dyDescent="0.3">
      <c r="A4" s="3" t="s">
        <v>0</v>
      </c>
      <c r="B4" s="3">
        <v>430</v>
      </c>
      <c r="C4" s="3" t="s">
        <v>1</v>
      </c>
      <c r="D4" s="3">
        <v>310</v>
      </c>
      <c r="E4" s="2"/>
      <c r="F4" s="2"/>
      <c r="G4" s="2"/>
      <c r="H4" s="2"/>
    </row>
    <row r="5" spans="1:8" ht="13.5" customHeight="1" x14ac:dyDescent="0.3">
      <c r="A5" s="3" t="s">
        <v>2</v>
      </c>
      <c r="B5" s="3">
        <v>2.5000000000000001E-2</v>
      </c>
      <c r="C5" s="8" t="s">
        <v>3</v>
      </c>
      <c r="D5" s="8" t="s">
        <v>13</v>
      </c>
      <c r="E5" s="2"/>
      <c r="F5" s="2"/>
      <c r="G5" s="2"/>
      <c r="H5" s="2"/>
    </row>
    <row r="6" spans="1:8" ht="13.5" customHeight="1" x14ac:dyDescent="0.3">
      <c r="A6" s="7" t="s">
        <v>14</v>
      </c>
      <c r="B6" s="7" t="s">
        <v>15</v>
      </c>
      <c r="C6" s="7" t="s">
        <v>16</v>
      </c>
      <c r="D6" s="7">
        <v>0</v>
      </c>
      <c r="E6" s="2"/>
      <c r="F6" s="2"/>
      <c r="G6" s="2"/>
      <c r="H6" s="2"/>
    </row>
    <row r="7" spans="1:8" x14ac:dyDescent="0.3">
      <c r="A7" s="10" t="s">
        <v>17</v>
      </c>
      <c r="B7" s="11" t="s">
        <v>15</v>
      </c>
      <c r="C7" s="10" t="s">
        <v>18</v>
      </c>
      <c r="D7" s="4">
        <v>40</v>
      </c>
    </row>
    <row r="8" spans="1:8" x14ac:dyDescent="0.3">
      <c r="A8" s="3" t="s">
        <v>36</v>
      </c>
      <c r="B8" s="4">
        <v>100</v>
      </c>
      <c r="C8" s="1" t="s">
        <v>4</v>
      </c>
      <c r="D8" s="1">
        <v>20</v>
      </c>
    </row>
    <row r="9" spans="1:8" ht="20.65" customHeight="1" x14ac:dyDescent="0.3">
      <c r="A9" s="14" t="s">
        <v>19</v>
      </c>
      <c r="B9" s="15"/>
      <c r="C9" s="15"/>
      <c r="D9" s="16"/>
    </row>
    <row r="10" spans="1:8" ht="20.65" customHeight="1" x14ac:dyDescent="0.3">
      <c r="A10" s="3" t="s">
        <v>22</v>
      </c>
      <c r="B10" s="20">
        <f>D4*IF(B6="是",B4+D6,B4)*B5*2*0.00091+IF(B7="是",D7*D4*B5*0.00091,0)</f>
        <v>6.06515</v>
      </c>
      <c r="C10" s="21"/>
      <c r="D10" s="3" t="s">
        <v>21</v>
      </c>
    </row>
    <row r="11" spans="1:8" ht="20.65" customHeight="1" x14ac:dyDescent="0.3">
      <c r="A11" s="3" t="s">
        <v>23</v>
      </c>
      <c r="B11" s="20">
        <f>IF(B7="是",D4/1000,0)</f>
        <v>0</v>
      </c>
      <c r="C11" s="21"/>
      <c r="D11" s="3"/>
    </row>
    <row r="12" spans="1:8" ht="20.65" customHeight="1" x14ac:dyDescent="0.3">
      <c r="A12" s="3" t="s">
        <v>26</v>
      </c>
      <c r="B12" s="20">
        <f>1/B8</f>
        <v>0.01</v>
      </c>
      <c r="C12" s="21"/>
      <c r="D12" s="3"/>
    </row>
    <row r="13" spans="1:8" ht="20.65" customHeight="1" x14ac:dyDescent="0.3">
      <c r="A13" s="3" t="s">
        <v>27</v>
      </c>
      <c r="B13" s="20">
        <f>1/B8/D8</f>
        <v>5.0000000000000001E-4</v>
      </c>
      <c r="C13" s="21"/>
      <c r="D13" s="3"/>
    </row>
    <row r="14" spans="1:8" ht="17.649999999999999" customHeight="1" x14ac:dyDescent="0.3">
      <c r="A14" s="3" t="s">
        <v>28</v>
      </c>
      <c r="B14" s="20">
        <f>1/B8/D8</f>
        <v>5.0000000000000001E-4</v>
      </c>
      <c r="C14" s="21"/>
      <c r="D14" s="3"/>
    </row>
    <row r="15" spans="1:8" ht="22.5" customHeight="1" x14ac:dyDescent="0.3">
      <c r="A15" s="17" t="s">
        <v>7</v>
      </c>
      <c r="B15" s="18"/>
      <c r="C15" s="19"/>
    </row>
    <row r="16" spans="1:8" x14ac:dyDescent="0.3">
      <c r="A16" s="3" t="s">
        <v>20</v>
      </c>
      <c r="B16" s="4">
        <v>13700</v>
      </c>
      <c r="C16" s="1" t="s">
        <v>8</v>
      </c>
    </row>
    <row r="17" spans="1:3" x14ac:dyDescent="0.3">
      <c r="A17" s="3" t="s">
        <v>29</v>
      </c>
      <c r="B17" s="4">
        <v>400</v>
      </c>
      <c r="C17" s="1" t="s">
        <v>30</v>
      </c>
    </row>
    <row r="18" spans="1:3" x14ac:dyDescent="0.3">
      <c r="A18" s="3" t="s">
        <v>31</v>
      </c>
      <c r="B18" s="4">
        <v>7.0000000000000007E-2</v>
      </c>
      <c r="C18" s="1" t="s">
        <v>9</v>
      </c>
    </row>
    <row r="19" spans="1:3" x14ac:dyDescent="0.3">
      <c r="A19" s="3" t="s">
        <v>24</v>
      </c>
      <c r="B19" s="4">
        <v>0.2</v>
      </c>
      <c r="C19" s="1" t="s">
        <v>9</v>
      </c>
    </row>
    <row r="20" spans="1:3" x14ac:dyDescent="0.3">
      <c r="A20" s="3" t="s">
        <v>25</v>
      </c>
      <c r="B20" s="4">
        <v>4.5</v>
      </c>
      <c r="C20" s="1" t="s">
        <v>9</v>
      </c>
    </row>
    <row r="22" spans="1:3" ht="17.649999999999999" x14ac:dyDescent="0.3">
      <c r="A22" s="17" t="s">
        <v>32</v>
      </c>
      <c r="B22" s="18"/>
      <c r="C22" s="19"/>
    </row>
    <row r="23" spans="1:3" x14ac:dyDescent="0.3">
      <c r="A23" s="1" t="s">
        <v>10</v>
      </c>
      <c r="B23" s="5">
        <f>B10*B16/1000000</f>
        <v>8.3092555000000012E-2</v>
      </c>
      <c r="C23" s="5"/>
    </row>
    <row r="24" spans="1:3" x14ac:dyDescent="0.3">
      <c r="A24" s="1" t="s">
        <v>33</v>
      </c>
      <c r="B24" s="5">
        <f>B17/10000*B11</f>
        <v>0</v>
      </c>
      <c r="C24" s="6"/>
    </row>
    <row r="25" spans="1:3" x14ac:dyDescent="0.3">
      <c r="A25" s="1" t="s">
        <v>34</v>
      </c>
      <c r="B25" s="5">
        <f>B12*B18</f>
        <v>7.000000000000001E-4</v>
      </c>
      <c r="C25" s="5"/>
    </row>
    <row r="26" spans="1:3" x14ac:dyDescent="0.3">
      <c r="A26" s="1" t="s">
        <v>35</v>
      </c>
      <c r="B26" s="5">
        <f>B13*B19</f>
        <v>1E-4</v>
      </c>
      <c r="C26" s="5"/>
    </row>
    <row r="27" spans="1:3" x14ac:dyDescent="0.3">
      <c r="A27" s="1" t="s">
        <v>11</v>
      </c>
      <c r="B27" s="5">
        <f>B14*B20</f>
        <v>2.2500000000000003E-3</v>
      </c>
      <c r="C27" s="5"/>
    </row>
    <row r="28" spans="1:3" x14ac:dyDescent="0.3">
      <c r="A28" s="1" t="s">
        <v>12</v>
      </c>
      <c r="B28" s="5">
        <f>SUM(B23:B27)</f>
        <v>8.6142555000000023E-2</v>
      </c>
      <c r="C28" s="5"/>
    </row>
  </sheetData>
  <mergeCells count="10">
    <mergeCell ref="A22:C22"/>
    <mergeCell ref="A3:D3"/>
    <mergeCell ref="A1:D2"/>
    <mergeCell ref="A9:D9"/>
    <mergeCell ref="A15:C15"/>
    <mergeCell ref="B10:C10"/>
    <mergeCell ref="B11:C11"/>
    <mergeCell ref="B12:C12"/>
    <mergeCell ref="B13:C13"/>
    <mergeCell ref="B14:C14"/>
  </mergeCells>
  <phoneticPr fontId="3" type="noConversion"/>
  <dataValidations count="4">
    <dataValidation type="custom" allowBlank="1" showInputMessage="1" showErrorMessage="1" sqref="C7" xr:uid="{887B3663-00F7-49C6-8871-B0D2FEABA517}">
      <formula1>D7</formula1>
    </dataValidation>
    <dataValidation type="list" allowBlank="1" showInputMessage="1" showErrorMessage="1" sqref="D5" xr:uid="{2B12D29F-680E-45F2-84D4-1D829472D37F}">
      <formula1>"盒装,袋装"</formula1>
    </dataValidation>
    <dataValidation type="list" allowBlank="1" showInputMessage="1" showErrorMessage="1" sqref="B6:B7" xr:uid="{6E166B86-3BB0-4023-ACD6-9D2D07CB0C19}">
      <formula1>"是,否"</formula1>
    </dataValidation>
    <dataValidation type="list" allowBlank="1" showInputMessage="1" showErrorMessage="1" sqref="B18" xr:uid="{69BE2EC1-1C2F-4B15-8EA3-BDF4D2D3DACA}">
      <formula1>"0.07,0.09,0.11"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74A5-6B6C-4A7C-BF21-93B8BF9A1979}">
  <dimension ref="A2:I3"/>
  <sheetViews>
    <sheetView workbookViewId="0">
      <selection activeCell="J14" sqref="J14"/>
    </sheetView>
  </sheetViews>
  <sheetFormatPr defaultRowHeight="13.5" x14ac:dyDescent="0.3"/>
  <sheetData>
    <row r="2" spans="1:9" x14ac:dyDescent="0.3">
      <c r="B2" s="9"/>
      <c r="C2" s="9"/>
      <c r="D2" s="9"/>
      <c r="E2" s="9"/>
      <c r="F2" s="9"/>
      <c r="G2" s="9"/>
      <c r="H2" s="9"/>
      <c r="I2" s="9"/>
    </row>
    <row r="3" spans="1:9" x14ac:dyDescent="0.3">
      <c r="A3" s="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原材料成本计算方法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晓东 刘</cp:lastModifiedBy>
  <cp:lastPrinted>2026-10-16T05:38:56Z</cp:lastPrinted>
  <dcterms:created xsi:type="dcterms:W3CDTF">2023-05-12T11:15:00Z</dcterms:created>
  <dcterms:modified xsi:type="dcterms:W3CDTF">2026-10-23T08:48:32Z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F7103C4CFC08452C96521ADAFEC4F2F1_12</vt:lpwstr>
  </property>
  <property fmtid="{D5CDD505-2E9C-101B-9397-08002B2CF9AE}" pid="4" name="CalculationRule">
    <vt:i4>0</vt:i4>
  </property>
</Properties>
</file>