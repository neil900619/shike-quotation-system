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项目\世科报价系统\OPP&amp;CPP\"/>
    </mc:Choice>
  </mc:AlternateContent>
  <xr:revisionPtr revIDLastSave="0" documentId="13_ncr:1_{6DDCED50-C1F5-4A22-BA4C-3F2ECB943F7E}" xr6:coauthVersionLast="47" xr6:coauthVersionMax="47" xr10:uidLastSave="{00000000-0000-0000-0000-000000000000}"/>
  <bookViews>
    <workbookView xWindow="-98" yWindow="-98" windowWidth="23236" windowHeight="13875" xr2:uid="{76D4A478-844C-4B68-B86E-54072E5F7360}"/>
  </bookViews>
  <sheets>
    <sheet name="OPP袋テープ無し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8" l="1"/>
  <c r="J6" i="8"/>
  <c r="J45" i="8"/>
  <c r="N45" i="8" s="1"/>
  <c r="J18" i="8"/>
  <c r="N18" i="8" s="1"/>
  <c r="J19" i="8"/>
  <c r="N19" i="8" s="1"/>
  <c r="J20" i="8"/>
  <c r="N20" i="8" s="1"/>
  <c r="J21" i="8"/>
  <c r="N21" i="8" s="1"/>
  <c r="J22" i="8"/>
  <c r="N22" i="8" s="1"/>
  <c r="J23" i="8"/>
  <c r="N23" i="8" s="1"/>
  <c r="J24" i="8"/>
  <c r="N24" i="8" s="1"/>
  <c r="J25" i="8"/>
  <c r="N25" i="8" s="1"/>
  <c r="J26" i="8"/>
  <c r="N26" i="8" s="1"/>
  <c r="J27" i="8"/>
  <c r="N27" i="8" s="1"/>
  <c r="J28" i="8"/>
  <c r="N28" i="8" s="1"/>
  <c r="J29" i="8"/>
  <c r="N29" i="8" s="1"/>
  <c r="J30" i="8"/>
  <c r="N30" i="8" s="1"/>
  <c r="J31" i="8"/>
  <c r="N31" i="8" s="1"/>
  <c r="J32" i="8"/>
  <c r="N32" i="8" s="1"/>
  <c r="J33" i="8"/>
  <c r="N33" i="8" s="1"/>
  <c r="J34" i="8"/>
  <c r="N34" i="8" s="1"/>
  <c r="J35" i="8"/>
  <c r="N35" i="8" s="1"/>
  <c r="J36" i="8"/>
  <c r="N36" i="8" s="1"/>
  <c r="J37" i="8"/>
  <c r="N37" i="8" s="1"/>
  <c r="J38" i="8"/>
  <c r="N38" i="8" s="1"/>
  <c r="J39" i="8"/>
  <c r="N39" i="8" s="1"/>
  <c r="J40" i="8"/>
  <c r="N40" i="8" s="1"/>
  <c r="J41" i="8"/>
  <c r="N41" i="8" s="1"/>
  <c r="J42" i="8"/>
  <c r="N42" i="8" s="1"/>
  <c r="J43" i="8"/>
  <c r="N43" i="8" s="1"/>
  <c r="J44" i="8"/>
  <c r="N44" i="8" s="1"/>
  <c r="J17" i="8"/>
  <c r="J8" i="8"/>
  <c r="J10" i="8"/>
  <c r="J11" i="8"/>
  <c r="J12" i="8"/>
  <c r="J13" i="8"/>
  <c r="N13" i="8" s="1"/>
  <c r="J14" i="8"/>
  <c r="J15" i="8"/>
  <c r="J16" i="8"/>
  <c r="J5" i="8"/>
  <c r="J7" i="8"/>
  <c r="J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4" i="8"/>
  <c r="N17" i="8" l="1"/>
  <c r="N16" i="8"/>
  <c r="N15" i="8"/>
  <c r="N14" i="8"/>
  <c r="N12" i="8"/>
  <c r="N11" i="8"/>
  <c r="N10" i="8"/>
  <c r="N9" i="8"/>
  <c r="N8" i="8"/>
  <c r="N7" i="8"/>
  <c r="N6" i="8"/>
  <c r="N5" i="8"/>
  <c r="N4" i="8" l="1"/>
</calcChain>
</file>

<file path=xl/sharedStrings.xml><?xml version="1.0" encoding="utf-8"?>
<sst xmlns="http://schemas.openxmlformats.org/spreadsheetml/2006/main" count="135" uniqueCount="55">
  <si>
    <t>厚さ(mm)</t>
    <phoneticPr fontId="1"/>
  </si>
  <si>
    <t>幅(mm)</t>
    <phoneticPr fontId="1"/>
  </si>
  <si>
    <t>高さ(mm)</t>
    <phoneticPr fontId="1"/>
  </si>
  <si>
    <t>ケース入数</t>
    <rPh sb="3" eb="5">
      <t>イリスウ</t>
    </rPh>
    <phoneticPr fontId="1"/>
  </si>
  <si>
    <t>入数</t>
  </si>
  <si>
    <t>透明OPP袋</t>
    <phoneticPr fontId="1"/>
  </si>
  <si>
    <t>ITEM</t>
    <phoneticPr fontId="1"/>
  </si>
  <si>
    <t>＜コンテナ直送＞</t>
    <rPh sb="5" eb="7">
      <t>チョクソウ</t>
    </rPh>
    <phoneticPr fontId="1"/>
  </si>
  <si>
    <t>PRICE
USD/sheet</t>
    <phoneticPr fontId="1"/>
  </si>
  <si>
    <t>每包数量</t>
    <phoneticPr fontId="1"/>
  </si>
  <si>
    <t>厚度</t>
    <phoneticPr fontId="1"/>
  </si>
  <si>
    <t>宽</t>
    <phoneticPr fontId="1"/>
  </si>
  <si>
    <t>长</t>
    <phoneticPr fontId="1"/>
  </si>
  <si>
    <t>价格USD /张</t>
    <phoneticPr fontId="1"/>
  </si>
  <si>
    <t>包/箱</t>
    <phoneticPr fontId="1"/>
  </si>
  <si>
    <t>成本USD/张</t>
    <phoneticPr fontId="1"/>
  </si>
  <si>
    <t>成本USD/sheet</t>
    <phoneticPr fontId="1"/>
  </si>
  <si>
    <t>成本RMB/张</t>
    <phoneticPr fontId="1"/>
  </si>
  <si>
    <t>成本RMB/sheet</t>
    <phoneticPr fontId="1"/>
  </si>
  <si>
    <t>成本占比</t>
    <phoneticPr fontId="1"/>
  </si>
  <si>
    <t>渠道1</t>
    <phoneticPr fontId="1"/>
  </si>
  <si>
    <t>是否带胶带</t>
    <phoneticPr fontId="1"/>
  </si>
  <si>
    <t>否</t>
  </si>
  <si>
    <t>是</t>
  </si>
  <si>
    <t>Lid(mm)</t>
    <phoneticPr fontId="1"/>
  </si>
  <si>
    <t>-</t>
    <phoneticPr fontId="1"/>
  </si>
  <si>
    <t>渠道2</t>
    <phoneticPr fontId="1"/>
  </si>
  <si>
    <t>OPP Bag 20μ with tape 110 x 160 (PC) 100 pieces</t>
    <phoneticPr fontId="1"/>
  </si>
  <si>
    <t>OPP Bag 20μ with tape 120 x 230 (EN3) 100 pieces</t>
    <phoneticPr fontId="1"/>
  </si>
  <si>
    <t>OPP Bag 20μ with tape 160 x 220 (A5) 100 pieces</t>
    <phoneticPr fontId="1"/>
  </si>
  <si>
    <t>OPP Bag 20μ with tape 195 x 270 (B5) 100 pieces</t>
    <phoneticPr fontId="1"/>
  </si>
  <si>
    <t>OPP Bag 20μ with tape 225 x 310 (A4) 100 pieces</t>
    <phoneticPr fontId="1"/>
  </si>
  <si>
    <t>OPP Bag 20μ with tape 270 x 370 (B4) 100 pieces</t>
    <phoneticPr fontId="1"/>
  </si>
  <si>
    <t>OPP Bag 20μ with tape 310 x 430 (A3) 100 pieces</t>
    <phoneticPr fontId="1"/>
  </si>
  <si>
    <t>OPP Bag 25μ with tape 110 x 160 (PC) 100 pieces</t>
    <phoneticPr fontId="1"/>
  </si>
  <si>
    <t>OPP Bag 25μ with tape 120 x 230 (EN3) 100 pieces</t>
    <phoneticPr fontId="1"/>
  </si>
  <si>
    <t>OPP Bag 25μ with tape 160 x 220 (A5) 100 pieces</t>
    <phoneticPr fontId="1"/>
  </si>
  <si>
    <t>OPP Bag 25μ with tape 195 x 270 (B5) 100 pieces</t>
    <phoneticPr fontId="1"/>
  </si>
  <si>
    <t>OPP Bag 25μ with tape 225 x 310 (A4) 100 pieces</t>
    <phoneticPr fontId="1"/>
  </si>
  <si>
    <t>OPP Bag 25μ with tape 270 x 370 (B4) 100 pieces</t>
    <phoneticPr fontId="1"/>
  </si>
  <si>
    <t>OPP Bag 25μ with tape 310 x 430 (A3) 100 pieces</t>
    <phoneticPr fontId="1"/>
  </si>
  <si>
    <t>OPP Bag 20μ 110 x 160 (PC) 100 pieces</t>
    <phoneticPr fontId="1"/>
  </si>
  <si>
    <t>OPP Bag 20μ 120 x 230 (EN3) 100 pieces</t>
    <phoneticPr fontId="1"/>
  </si>
  <si>
    <t>OPP Bag 20μ 160 x 220 (A5) 100 pieces</t>
    <phoneticPr fontId="1"/>
  </si>
  <si>
    <t>OPP Bag 20μ 195 x 270 (B5) 100 pieces</t>
    <phoneticPr fontId="1"/>
  </si>
  <si>
    <t>OPP Bag 20μ 225 x 310 (A4) 100 pieces</t>
    <phoneticPr fontId="1"/>
  </si>
  <si>
    <t>OPP Bag 20μ 270 x 370 (B4) 100 pieces</t>
    <phoneticPr fontId="1"/>
  </si>
  <si>
    <t>OPP Bag 20μ 310 x 430 (A3) 100 pieces</t>
    <phoneticPr fontId="1"/>
  </si>
  <si>
    <t>OPP Bag 25μ 110 x 160 (PC) 100 pieces</t>
    <phoneticPr fontId="1"/>
  </si>
  <si>
    <t>OPP Bag 25μ 120 x 230 (EN3) 100 pieces</t>
    <phoneticPr fontId="1"/>
  </si>
  <si>
    <t>OPP Bag 25μ 160 x 220 (A5) 100 pieces</t>
    <phoneticPr fontId="1"/>
  </si>
  <si>
    <t>OPP Bag 25μ 195 x 270 (B5) 100 pieces</t>
    <phoneticPr fontId="1"/>
  </si>
  <si>
    <t>OPP Bag 25μ 225 x 310 (A4) 100 pieces</t>
    <phoneticPr fontId="1"/>
  </si>
  <si>
    <t>OPP Bag 25μ 270 x 370 (B4) 100 pieces</t>
    <phoneticPr fontId="1"/>
  </si>
  <si>
    <t>OPP Bag 25μ 310 x 430 (A3) 100 pieces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</si>
</sst>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\$#,##0.00000;\-\$#,##0.00000"/>
    <numFmt numFmtId="181" formatCode="#,##0.0;[Red]\-#,##0.0"/>
  </numFmts>
  <fonts count="9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u/>
      <sz val="11"/>
      <color theme="10"/>
      <name val="等线"/>
      <family val="2"/>
      <charset val="128"/>
      <scheme val="minor"/>
    </font>
    <font>
      <sz val="11"/>
      <color theme="1"/>
      <name val="等线"/>
      <family val="2"/>
      <charset val="128"/>
      <scheme val="minor"/>
    </font>
    <font>
      <b/>
      <u/>
      <sz val="12"/>
      <name val="等线"/>
      <family val="3"/>
      <charset val="128"/>
      <scheme val="minor"/>
    </font>
    <font>
      <sz val="11"/>
      <color rgb="FF0070C0"/>
      <name val="等线"/>
      <family val="2"/>
      <charset val="128"/>
      <scheme val="minor"/>
    </font>
    <font>
      <sz val="11"/>
      <color rgb="FF0070C0"/>
      <name val="等线"/>
      <family val="3"/>
      <charset val="134"/>
      <scheme val="minor"/>
    </font>
    <font>
      <sz val="11"/>
      <color theme="1"/>
      <name val="Calibri"/>
      <family val="2"/>
    </font>
    <font>
      <sz val="12"/>
      <name val="新細明體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81" fontId="7" fillId="0" borderId="1" xfId="2" applyNumberFormat="1" applyFont="1" applyBorder="1" applyAlignment="1">
      <alignment horizontal="center" vertical="center"/>
    </xf>
    <xf numFmtId="181" fontId="7" fillId="0" borderId="1" xfId="2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">
    <cellStyle name="常规" xfId="0" builtinId="0"/>
    <cellStyle name="常规 2" xfId="3" xr:uid="{297C14C6-32A0-42CE-841F-B9ED875C018B}"/>
    <cellStyle name="超链接" xfId="1" builtinId="8"/>
    <cellStyle name="千位分隔[0]" xfId="2" builtinId="6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DFDE-F751-48C3-809F-58D36A9E370C}">
  <sheetPr>
    <tabColor theme="5"/>
  </sheetPr>
  <dimension ref="A1:N45"/>
  <sheetViews>
    <sheetView tabSelected="1" zoomScale="80" zoomScaleNormal="80" workbookViewId="0">
      <selection activeCell="R8" sqref="R8"/>
    </sheetView>
  </sheetViews>
  <sheetFormatPr defaultRowHeight="13.9" x14ac:dyDescent="0.4"/>
  <cols>
    <col min="2" max="2" width="55.6640625" bestFit="1" customWidth="1"/>
    <col min="3" max="3" width="5.265625" bestFit="1" customWidth="1"/>
    <col min="4" max="4" width="10" bestFit="1" customWidth="1"/>
    <col min="5" max="5" width="8.06640625" bestFit="1" customWidth="1"/>
    <col min="7" max="8" width="12.9296875" customWidth="1"/>
    <col min="9" max="10" width="14.73046875" customWidth="1"/>
    <col min="11" max="11" width="12" customWidth="1"/>
    <col min="12" max="12" width="10.796875" customWidth="1"/>
    <col min="13" max="13" width="10.796875" hidden="1" customWidth="1"/>
  </cols>
  <sheetData>
    <row r="1" spans="1:14" x14ac:dyDescent="0.4">
      <c r="B1" s="1"/>
      <c r="L1" s="5" t="s">
        <v>14</v>
      </c>
      <c r="M1" s="5"/>
    </row>
    <row r="2" spans="1:14" ht="15" x14ac:dyDescent="0.4">
      <c r="B2" s="2" t="s">
        <v>7</v>
      </c>
      <c r="C2" s="4" t="s">
        <v>9</v>
      </c>
      <c r="D2" s="5" t="s">
        <v>10</v>
      </c>
      <c r="E2" s="5" t="s">
        <v>11</v>
      </c>
      <c r="F2" s="5" t="s">
        <v>12</v>
      </c>
      <c r="G2" s="5"/>
      <c r="H2" s="5"/>
      <c r="I2" s="10" t="s">
        <v>17</v>
      </c>
      <c r="J2" s="10" t="s">
        <v>15</v>
      </c>
      <c r="K2" s="5" t="s">
        <v>13</v>
      </c>
      <c r="L2" s="8"/>
      <c r="M2" s="7"/>
    </row>
    <row r="3" spans="1:14" ht="27.75" x14ac:dyDescent="0.4">
      <c r="B3" s="13" t="s">
        <v>6</v>
      </c>
      <c r="C3" s="13" t="s">
        <v>4</v>
      </c>
      <c r="D3" s="13" t="s">
        <v>0</v>
      </c>
      <c r="E3" s="13" t="s">
        <v>1</v>
      </c>
      <c r="F3" s="13" t="s">
        <v>2</v>
      </c>
      <c r="G3" s="13" t="s">
        <v>21</v>
      </c>
      <c r="H3" s="13" t="s">
        <v>24</v>
      </c>
      <c r="I3" s="12" t="s">
        <v>18</v>
      </c>
      <c r="J3" s="12" t="s">
        <v>16</v>
      </c>
      <c r="K3" s="3" t="s">
        <v>8</v>
      </c>
      <c r="L3" s="3" t="s">
        <v>3</v>
      </c>
      <c r="M3" s="3"/>
      <c r="N3" s="3" t="s">
        <v>19</v>
      </c>
    </row>
    <row r="4" spans="1:14" x14ac:dyDescent="0.4">
      <c r="A4" s="11" t="s">
        <v>20</v>
      </c>
      <c r="B4" s="9" t="s">
        <v>5</v>
      </c>
      <c r="C4" s="9">
        <v>100</v>
      </c>
      <c r="D4" s="9">
        <v>0.03</v>
      </c>
      <c r="E4" s="9">
        <v>70</v>
      </c>
      <c r="F4" s="9">
        <v>100</v>
      </c>
      <c r="G4" s="9" t="s">
        <v>22</v>
      </c>
      <c r="H4" s="9" t="s">
        <v>25</v>
      </c>
      <c r="I4" s="9">
        <v>6.0163666666666667E-3</v>
      </c>
      <c r="J4" s="14">
        <f>I4/6.7</f>
        <v>8.9796517412935322E-4</v>
      </c>
      <c r="K4" s="18">
        <v>2.0560000000000001E-3</v>
      </c>
      <c r="L4" s="19">
        <v>300</v>
      </c>
      <c r="M4" s="6" t="e">
        <f>1000/#REF!</f>
        <v>#REF!</v>
      </c>
      <c r="N4" s="15">
        <f>J4/K4</f>
        <v>0.43675348936252584</v>
      </c>
    </row>
    <row r="5" spans="1:14" x14ac:dyDescent="0.4">
      <c r="A5" s="11"/>
      <c r="B5" s="9" t="s">
        <v>5</v>
      </c>
      <c r="C5" s="9">
        <v>100</v>
      </c>
      <c r="D5" s="9">
        <v>0.03</v>
      </c>
      <c r="E5" s="9">
        <v>80</v>
      </c>
      <c r="F5" s="9">
        <v>120</v>
      </c>
      <c r="G5" s="9" t="s">
        <v>22</v>
      </c>
      <c r="H5" s="9" t="s">
        <v>25</v>
      </c>
      <c r="I5" s="9">
        <v>8.0111599999999998E-3</v>
      </c>
      <c r="J5" s="14">
        <f>I5/6.7</f>
        <v>1.1956955223880595E-3</v>
      </c>
      <c r="K5" s="18">
        <v>2.2935E-3</v>
      </c>
      <c r="L5" s="19">
        <v>200</v>
      </c>
      <c r="M5" s="6" t="e">
        <f>1000/#REF!</f>
        <v>#REF!</v>
      </c>
      <c r="N5" s="15">
        <f>J5/K5</f>
        <v>0.52134097335428797</v>
      </c>
    </row>
    <row r="6" spans="1:14" x14ac:dyDescent="0.4">
      <c r="A6" s="11"/>
      <c r="B6" s="9" t="s">
        <v>5</v>
      </c>
      <c r="C6" s="9">
        <v>100</v>
      </c>
      <c r="D6" s="9">
        <v>0.03</v>
      </c>
      <c r="E6" s="9">
        <v>105</v>
      </c>
      <c r="F6" s="9">
        <v>155</v>
      </c>
      <c r="G6" s="9" t="s">
        <v>22</v>
      </c>
      <c r="H6" s="9" t="s">
        <v>25</v>
      </c>
      <c r="I6" s="9">
        <v>1.3087969166666666E-2</v>
      </c>
      <c r="J6" s="14">
        <f>I6/6.7</f>
        <v>1.9534282338308459E-3</v>
      </c>
      <c r="K6" s="18">
        <v>3.5599999999999998E-3</v>
      </c>
      <c r="L6" s="19">
        <v>120</v>
      </c>
      <c r="M6" s="6" t="e">
        <f>1000/#REF!</f>
        <v>#REF!</v>
      </c>
      <c r="N6" s="15">
        <f>J6/K6</f>
        <v>0.5487157960199005</v>
      </c>
    </row>
    <row r="7" spans="1:14" x14ac:dyDescent="0.4">
      <c r="A7" s="11"/>
      <c r="B7" s="9" t="s">
        <v>5</v>
      </c>
      <c r="C7" s="9">
        <v>100</v>
      </c>
      <c r="D7" s="9">
        <v>0.03</v>
      </c>
      <c r="E7" s="9">
        <v>140</v>
      </c>
      <c r="F7" s="9">
        <v>200</v>
      </c>
      <c r="G7" s="9" t="s">
        <v>22</v>
      </c>
      <c r="H7" s="9" t="s">
        <v>25</v>
      </c>
      <c r="I7" s="9">
        <v>2.2010228571428571E-2</v>
      </c>
      <c r="J7" s="14">
        <f>I7/6.7</f>
        <v>3.2851087420042641E-3</v>
      </c>
      <c r="K7" s="18">
        <v>4.962857142857143E-3</v>
      </c>
      <c r="L7" s="19">
        <v>70</v>
      </c>
      <c r="M7" s="6" t="e">
        <f>1000/#REF!</f>
        <v>#REF!</v>
      </c>
      <c r="N7" s="15">
        <f>J7/K7</f>
        <v>0.66193900961513663</v>
      </c>
    </row>
    <row r="8" spans="1:14" x14ac:dyDescent="0.4">
      <c r="A8" s="11"/>
      <c r="B8" s="9" t="s">
        <v>5</v>
      </c>
      <c r="C8" s="9">
        <v>100</v>
      </c>
      <c r="D8" s="9">
        <v>0.03</v>
      </c>
      <c r="E8" s="9">
        <v>160</v>
      </c>
      <c r="F8" s="9">
        <v>225</v>
      </c>
      <c r="G8" s="9" t="s">
        <v>22</v>
      </c>
      <c r="H8" s="9" t="s">
        <v>25</v>
      </c>
      <c r="I8" s="9">
        <v>2.8175599999999999E-2</v>
      </c>
      <c r="J8" s="14">
        <f>I8/6.7</f>
        <v>4.2053134328358206E-3</v>
      </c>
      <c r="K8" s="18">
        <v>5.5659999999999998E-3</v>
      </c>
      <c r="L8" s="19">
        <v>50</v>
      </c>
      <c r="M8" s="6" t="e">
        <f>1000/#REF!</f>
        <v>#REF!</v>
      </c>
      <c r="N8" s="15">
        <f>J8/K8</f>
        <v>0.75553601021125061</v>
      </c>
    </row>
    <row r="9" spans="1:14" x14ac:dyDescent="0.4">
      <c r="A9" s="11"/>
      <c r="B9" s="9" t="s">
        <v>5</v>
      </c>
      <c r="C9" s="9">
        <v>100</v>
      </c>
      <c r="D9" s="9">
        <v>0.03</v>
      </c>
      <c r="E9" s="9">
        <v>195</v>
      </c>
      <c r="F9" s="9">
        <v>270</v>
      </c>
      <c r="G9" s="9" t="s">
        <v>22</v>
      </c>
      <c r="H9" s="9" t="s">
        <v>25</v>
      </c>
      <c r="I9" s="9">
        <v>4.0683315000000005E-2</v>
      </c>
      <c r="J9" s="14">
        <f>I9/6.7</f>
        <v>6.0721365671641799E-3</v>
      </c>
      <c r="K9" s="18">
        <v>7.5700000000000003E-3</v>
      </c>
      <c r="L9" s="19">
        <v>40</v>
      </c>
      <c r="M9" s="6" t="e">
        <f>1000/#REF!</f>
        <v>#REF!</v>
      </c>
      <c r="N9" s="15">
        <f>J9/K9</f>
        <v>0.80213164691732886</v>
      </c>
    </row>
    <row r="10" spans="1:14" x14ac:dyDescent="0.4">
      <c r="A10" s="11"/>
      <c r="B10" s="9" t="s">
        <v>5</v>
      </c>
      <c r="C10" s="9">
        <v>100</v>
      </c>
      <c r="D10" s="9">
        <v>0.03</v>
      </c>
      <c r="E10" s="9">
        <v>225</v>
      </c>
      <c r="F10" s="9">
        <v>310</v>
      </c>
      <c r="G10" s="9" t="s">
        <v>22</v>
      </c>
      <c r="H10" s="9" t="s">
        <v>25</v>
      </c>
      <c r="I10" s="9">
        <v>5.3679391666666666E-2</v>
      </c>
      <c r="J10" s="14">
        <f>I10/6.7</f>
        <v>8.0118495024875617E-3</v>
      </c>
      <c r="K10" s="18">
        <v>9.9233333333333326E-3</v>
      </c>
      <c r="L10" s="19">
        <v>30</v>
      </c>
      <c r="M10" s="6" t="e">
        <f>1000/#REF!</f>
        <v>#REF!</v>
      </c>
      <c r="N10" s="15">
        <f>J10/K10</f>
        <v>0.8073748238986459</v>
      </c>
    </row>
    <row r="11" spans="1:14" x14ac:dyDescent="0.4">
      <c r="A11" s="11"/>
      <c r="B11" s="9" t="s">
        <v>5</v>
      </c>
      <c r="C11" s="9">
        <v>100</v>
      </c>
      <c r="D11" s="9">
        <v>0.03</v>
      </c>
      <c r="E11" s="9">
        <v>270</v>
      </c>
      <c r="F11" s="9">
        <v>380</v>
      </c>
      <c r="G11" s="9" t="s">
        <v>22</v>
      </c>
      <c r="H11" s="9" t="s">
        <v>25</v>
      </c>
      <c r="I11" s="9">
        <v>7.8676460000000017E-2</v>
      </c>
      <c r="J11" s="14">
        <f>I11/6.7</f>
        <v>1.1742755223880599E-2</v>
      </c>
      <c r="K11" s="18">
        <v>1.4060000000000001E-2</v>
      </c>
      <c r="L11" s="19">
        <v>20</v>
      </c>
      <c r="M11" s="6" t="e">
        <f>1000/#REF!</f>
        <v>#REF!</v>
      </c>
      <c r="N11" s="15">
        <f>J11/K11</f>
        <v>0.83518884949364136</v>
      </c>
    </row>
    <row r="12" spans="1:14" x14ac:dyDescent="0.4">
      <c r="A12" s="11"/>
      <c r="B12" s="9" t="s">
        <v>5</v>
      </c>
      <c r="C12" s="9">
        <v>100</v>
      </c>
      <c r="D12" s="9">
        <v>0.03</v>
      </c>
      <c r="E12" s="9">
        <v>300</v>
      </c>
      <c r="F12" s="9">
        <v>450</v>
      </c>
      <c r="G12" s="9" t="s">
        <v>22</v>
      </c>
      <c r="H12" s="9" t="s">
        <v>25</v>
      </c>
      <c r="I12" s="9">
        <v>0.10334183333333334</v>
      </c>
      <c r="J12" s="14">
        <f>I12/6.7</f>
        <v>1.5424154228855722E-2</v>
      </c>
      <c r="K12" s="18">
        <v>1.7873333333333331E-2</v>
      </c>
      <c r="L12" s="19">
        <v>15</v>
      </c>
      <c r="M12" s="6" t="e">
        <f>1000/#REF!</f>
        <v>#REF!</v>
      </c>
      <c r="N12" s="15">
        <f>J12/K12</f>
        <v>0.86297021049174127</v>
      </c>
    </row>
    <row r="13" spans="1:14" x14ac:dyDescent="0.4">
      <c r="A13" s="11"/>
      <c r="B13" s="9" t="s">
        <v>5</v>
      </c>
      <c r="C13" s="9">
        <v>100</v>
      </c>
      <c r="D13" s="9">
        <v>0.03</v>
      </c>
      <c r="E13" s="9">
        <v>310</v>
      </c>
      <c r="F13" s="9">
        <v>435</v>
      </c>
      <c r="G13" s="9" t="s">
        <v>22</v>
      </c>
      <c r="H13" s="9" t="s">
        <v>25</v>
      </c>
      <c r="I13" s="9">
        <v>0.10323126833333333</v>
      </c>
      <c r="J13" s="14">
        <f>I13/6.7</f>
        <v>1.540765199004975E-2</v>
      </c>
      <c r="K13" s="18">
        <v>1.8026666666666667E-2</v>
      </c>
      <c r="L13" s="19">
        <v>15</v>
      </c>
      <c r="M13" s="6" t="e">
        <f>1000/#REF!</f>
        <v>#REF!</v>
      </c>
      <c r="N13" s="15">
        <f>J13/K13</f>
        <v>0.85471442252494911</v>
      </c>
    </row>
    <row r="14" spans="1:14" x14ac:dyDescent="0.4">
      <c r="A14" s="11"/>
      <c r="B14" s="9" t="s">
        <v>5</v>
      </c>
      <c r="C14" s="9">
        <v>50</v>
      </c>
      <c r="D14" s="9">
        <v>0.03</v>
      </c>
      <c r="E14" s="9">
        <v>360</v>
      </c>
      <c r="F14" s="9">
        <v>540</v>
      </c>
      <c r="G14" s="9" t="s">
        <v>22</v>
      </c>
      <c r="H14" s="9" t="s">
        <v>25</v>
      </c>
      <c r="I14" s="9">
        <v>0.14634224000000001</v>
      </c>
      <c r="J14" s="14">
        <f>I14/6.7</f>
        <v>2.1842125373134329E-2</v>
      </c>
      <c r="K14" s="18">
        <v>2.6390000000000004E-2</v>
      </c>
      <c r="L14" s="19">
        <v>20</v>
      </c>
      <c r="M14" s="6" t="e">
        <f>1000/#REF!</f>
        <v>#REF!</v>
      </c>
      <c r="N14" s="15">
        <f>J14/K14</f>
        <v>0.82766674396113404</v>
      </c>
    </row>
    <row r="15" spans="1:14" x14ac:dyDescent="0.4">
      <c r="A15" s="11"/>
      <c r="B15" s="9" t="s">
        <v>5</v>
      </c>
      <c r="C15" s="9">
        <v>50</v>
      </c>
      <c r="D15" s="9">
        <v>0.03</v>
      </c>
      <c r="E15" s="9">
        <v>380</v>
      </c>
      <c r="F15" s="9">
        <v>600</v>
      </c>
      <c r="G15" s="9" t="s">
        <v>22</v>
      </c>
      <c r="H15" s="9" t="s">
        <v>25</v>
      </c>
      <c r="I15" s="9">
        <v>0.17110880000000001</v>
      </c>
      <c r="J15" s="14">
        <f>I15/6.7</f>
        <v>2.553862686567164E-2</v>
      </c>
      <c r="K15" s="18">
        <v>3.1370000000000002E-2</v>
      </c>
      <c r="L15" s="19">
        <v>20</v>
      </c>
      <c r="M15" s="6" t="e">
        <f>1000/#REF!</f>
        <v>#REF!</v>
      </c>
      <c r="N15" s="15">
        <f>J15/K15</f>
        <v>0.81410987777085231</v>
      </c>
    </row>
    <row r="16" spans="1:14" x14ac:dyDescent="0.4">
      <c r="A16" s="11"/>
      <c r="B16" s="9" t="s">
        <v>5</v>
      </c>
      <c r="C16" s="9">
        <v>50</v>
      </c>
      <c r="D16" s="9">
        <v>0.03</v>
      </c>
      <c r="E16" s="9">
        <v>500</v>
      </c>
      <c r="F16" s="9">
        <v>700</v>
      </c>
      <c r="G16" s="9" t="s">
        <v>22</v>
      </c>
      <c r="H16" s="9" t="s">
        <v>25</v>
      </c>
      <c r="I16" s="9">
        <v>0.26338499999999998</v>
      </c>
      <c r="J16" s="14">
        <f>I16/6.7</f>
        <v>3.9311194029850741E-2</v>
      </c>
      <c r="K16" s="18">
        <v>4.7259999999999996E-2</v>
      </c>
      <c r="L16" s="19">
        <v>10</v>
      </c>
      <c r="M16" s="6" t="e">
        <f>1000/#REF!</f>
        <v>#REF!</v>
      </c>
      <c r="N16" s="15">
        <f>J16/K16</f>
        <v>0.83180689864263102</v>
      </c>
    </row>
    <row r="17" spans="1:14" x14ac:dyDescent="0.4">
      <c r="A17" s="11"/>
      <c r="B17" s="9" t="s">
        <v>5</v>
      </c>
      <c r="C17" s="9">
        <v>50</v>
      </c>
      <c r="D17" s="9">
        <v>0.03</v>
      </c>
      <c r="E17" s="9">
        <v>650</v>
      </c>
      <c r="F17" s="9">
        <v>800</v>
      </c>
      <c r="G17" s="9" t="s">
        <v>22</v>
      </c>
      <c r="H17" s="9" t="s">
        <v>25</v>
      </c>
      <c r="I17" s="9">
        <v>0.38986699999999996</v>
      </c>
      <c r="J17" s="14">
        <f>I17/6.7</f>
        <v>5.8189104477611935E-2</v>
      </c>
      <c r="K17" s="18">
        <v>6.88E-2</v>
      </c>
      <c r="L17" s="19">
        <v>8</v>
      </c>
      <c r="M17" s="6" t="e">
        <f>1000/#REF!</f>
        <v>#REF!</v>
      </c>
      <c r="N17" s="15">
        <f>J17/K17</f>
        <v>0.84577186740715016</v>
      </c>
    </row>
    <row r="18" spans="1:14" ht="14.25" x14ac:dyDescent="0.4">
      <c r="A18" s="11" t="s">
        <v>26</v>
      </c>
      <c r="B18" s="9" t="s">
        <v>27</v>
      </c>
      <c r="C18" s="9">
        <v>100</v>
      </c>
      <c r="D18" s="9">
        <v>0.02</v>
      </c>
      <c r="E18" s="16">
        <v>110</v>
      </c>
      <c r="F18" s="16">
        <v>160</v>
      </c>
      <c r="G18" s="9" t="s">
        <v>23</v>
      </c>
      <c r="H18" s="9">
        <v>40</v>
      </c>
      <c r="I18" s="9">
        <v>1.5660079999999996E-2</v>
      </c>
      <c r="J18" s="14">
        <f t="shared" ref="J18:J44" si="0">I18/6.7</f>
        <v>2.3373253731343276E-3</v>
      </c>
      <c r="K18" s="14">
        <v>2.97639536047084E-3</v>
      </c>
      <c r="L18" s="9">
        <v>100</v>
      </c>
      <c r="M18" s="9"/>
      <c r="N18" s="15">
        <f>J18/K18</f>
        <v>0.78528726531967952</v>
      </c>
    </row>
    <row r="19" spans="1:14" ht="14.25" x14ac:dyDescent="0.4">
      <c r="A19" s="11"/>
      <c r="B19" s="9" t="s">
        <v>28</v>
      </c>
      <c r="C19" s="9">
        <v>100</v>
      </c>
      <c r="D19" s="9">
        <v>0.02</v>
      </c>
      <c r="E19" s="16">
        <v>120</v>
      </c>
      <c r="F19" s="16">
        <v>230</v>
      </c>
      <c r="G19" s="9" t="s">
        <v>23</v>
      </c>
      <c r="H19" s="9">
        <v>40</v>
      </c>
      <c r="I19" s="9">
        <v>2.1257999999999999E-2</v>
      </c>
      <c r="J19" s="14">
        <f t="shared" si="0"/>
        <v>3.1728358208955223E-3</v>
      </c>
      <c r="K19" s="14">
        <v>3.9805817733728297E-3</v>
      </c>
      <c r="L19" s="9">
        <v>100</v>
      </c>
      <c r="M19" s="9"/>
      <c r="N19" s="15">
        <f>J19/K19</f>
        <v>0.79707841756184106</v>
      </c>
    </row>
    <row r="20" spans="1:14" ht="14.25" x14ac:dyDescent="0.4">
      <c r="A20" s="11"/>
      <c r="B20" s="9" t="s">
        <v>29</v>
      </c>
      <c r="C20" s="9">
        <v>100</v>
      </c>
      <c r="D20" s="9">
        <v>0.02</v>
      </c>
      <c r="E20" s="16">
        <v>160</v>
      </c>
      <c r="F20" s="16">
        <v>220</v>
      </c>
      <c r="G20" s="9" t="s">
        <v>23</v>
      </c>
      <c r="H20" s="9">
        <v>40</v>
      </c>
      <c r="I20" s="9">
        <v>2.7608639999999997E-2</v>
      </c>
      <c r="J20" s="14">
        <f t="shared" si="0"/>
        <v>4.120692537313432E-3</v>
      </c>
      <c r="K20" s="14">
        <v>4.8589296857978097E-3</v>
      </c>
      <c r="L20" s="9">
        <v>50</v>
      </c>
      <c r="M20" s="9"/>
      <c r="N20" s="15">
        <f>J20/K20</f>
        <v>0.84806589182754077</v>
      </c>
    </row>
    <row r="21" spans="1:14" ht="14.25" x14ac:dyDescent="0.4">
      <c r="A21" s="11"/>
      <c r="B21" s="9" t="s">
        <v>30</v>
      </c>
      <c r="C21" s="9">
        <v>100</v>
      </c>
      <c r="D21" s="9">
        <v>0.02</v>
      </c>
      <c r="E21" s="16">
        <v>195</v>
      </c>
      <c r="F21" s="16">
        <v>270</v>
      </c>
      <c r="G21" s="9" t="s">
        <v>23</v>
      </c>
      <c r="H21" s="9">
        <v>40</v>
      </c>
      <c r="I21" s="9">
        <v>3.8257879999999994E-2</v>
      </c>
      <c r="J21" s="14">
        <f t="shared" si="0"/>
        <v>5.7101313432835815E-3</v>
      </c>
      <c r="K21" s="14">
        <v>6.6532131158562905E-3</v>
      </c>
      <c r="L21" s="9">
        <v>50</v>
      </c>
      <c r="M21" s="9"/>
      <c r="N21" s="15">
        <f>J21/K21</f>
        <v>0.85825168138307395</v>
      </c>
    </row>
    <row r="22" spans="1:14" ht="14.25" x14ac:dyDescent="0.4">
      <c r="A22" s="11"/>
      <c r="B22" s="9" t="s">
        <v>31</v>
      </c>
      <c r="C22" s="9">
        <v>100</v>
      </c>
      <c r="D22" s="9">
        <v>0.02</v>
      </c>
      <c r="E22" s="17">
        <v>225</v>
      </c>
      <c r="F22" s="17">
        <v>310</v>
      </c>
      <c r="G22" s="9" t="s">
        <v>23</v>
      </c>
      <c r="H22" s="9">
        <v>40</v>
      </c>
      <c r="I22" s="9">
        <v>4.8712800000000007E-2</v>
      </c>
      <c r="J22" s="14">
        <f t="shared" si="0"/>
        <v>7.2705671641791056E-3</v>
      </c>
      <c r="K22" s="14">
        <v>8.4252559498999794E-3</v>
      </c>
      <c r="L22" s="9">
        <v>40</v>
      </c>
      <c r="M22" s="9"/>
      <c r="N22" s="15">
        <f>J22/K22</f>
        <v>0.86294911482961156</v>
      </c>
    </row>
    <row r="23" spans="1:14" ht="14.25" x14ac:dyDescent="0.4">
      <c r="A23" s="11"/>
      <c r="B23" s="9" t="s">
        <v>32</v>
      </c>
      <c r="C23" s="9">
        <v>100</v>
      </c>
      <c r="D23" s="9">
        <v>0.02</v>
      </c>
      <c r="E23" s="16">
        <v>270</v>
      </c>
      <c r="F23" s="16">
        <v>370</v>
      </c>
      <c r="G23" s="9" t="s">
        <v>23</v>
      </c>
      <c r="H23" s="9">
        <v>40</v>
      </c>
      <c r="I23" s="9">
        <v>6.6727546666666679E-2</v>
      </c>
      <c r="J23" s="14">
        <f t="shared" si="0"/>
        <v>9.9593353233830857E-3</v>
      </c>
      <c r="K23" s="14">
        <v>1.1527979944073501E-2</v>
      </c>
      <c r="L23" s="9">
        <v>30</v>
      </c>
      <c r="M23" s="9"/>
      <c r="N23" s="15">
        <f>J23/K23</f>
        <v>0.86392719034032928</v>
      </c>
    </row>
    <row r="24" spans="1:14" ht="14.25" x14ac:dyDescent="0.4">
      <c r="A24" s="11"/>
      <c r="B24" s="9" t="s">
        <v>33</v>
      </c>
      <c r="C24" s="9">
        <v>100</v>
      </c>
      <c r="D24" s="9">
        <v>0.02</v>
      </c>
      <c r="E24" s="16">
        <v>310</v>
      </c>
      <c r="F24" s="16">
        <v>430</v>
      </c>
      <c r="G24" s="9" t="s">
        <v>23</v>
      </c>
      <c r="H24" s="9">
        <v>40</v>
      </c>
      <c r="I24" s="9">
        <v>8.6539199999999997E-2</v>
      </c>
      <c r="J24" s="14">
        <f t="shared" si="0"/>
        <v>1.2916298507462686E-2</v>
      </c>
      <c r="K24" s="14">
        <v>1.49487758004001E-2</v>
      </c>
      <c r="L24" s="9">
        <v>20</v>
      </c>
      <c r="M24" s="9"/>
      <c r="N24" s="15">
        <f>J24/K24</f>
        <v>0.86403720812489437</v>
      </c>
    </row>
    <row r="25" spans="1:14" ht="14.25" x14ac:dyDescent="0.4">
      <c r="A25" s="11"/>
      <c r="B25" s="9" t="s">
        <v>34</v>
      </c>
      <c r="C25" s="9">
        <v>100</v>
      </c>
      <c r="D25" s="9">
        <v>2.5000000000000001E-2</v>
      </c>
      <c r="E25" s="16">
        <v>110</v>
      </c>
      <c r="F25" s="16">
        <v>160</v>
      </c>
      <c r="G25" s="9" t="s">
        <v>23</v>
      </c>
      <c r="H25" s="9">
        <v>40</v>
      </c>
      <c r="I25" s="9">
        <v>1.7912329999999997E-2</v>
      </c>
      <c r="J25" s="14">
        <f t="shared" si="0"/>
        <v>2.6734820895522385E-3</v>
      </c>
      <c r="K25" s="14">
        <v>3.1174923757885799E-3</v>
      </c>
      <c r="L25" s="9">
        <v>100</v>
      </c>
      <c r="M25" s="9"/>
      <c r="N25" s="15">
        <f>J25/K25</f>
        <v>0.857574539817751</v>
      </c>
    </row>
    <row r="26" spans="1:14" ht="14.25" x14ac:dyDescent="0.4">
      <c r="A26" s="11"/>
      <c r="B26" s="9" t="s">
        <v>35</v>
      </c>
      <c r="C26" s="9">
        <v>100</v>
      </c>
      <c r="D26" s="9">
        <v>2.5000000000000001E-2</v>
      </c>
      <c r="E26" s="16">
        <v>120</v>
      </c>
      <c r="F26" s="16">
        <v>230</v>
      </c>
      <c r="G26" s="9" t="s">
        <v>23</v>
      </c>
      <c r="H26" s="9">
        <v>40</v>
      </c>
      <c r="I26" s="9">
        <v>2.4670499999999995E-2</v>
      </c>
      <c r="J26" s="14">
        <f t="shared" si="0"/>
        <v>3.6821641791044768E-3</v>
      </c>
      <c r="K26" s="14">
        <v>4.2902334304123699E-3</v>
      </c>
      <c r="L26" s="9">
        <v>100</v>
      </c>
      <c r="M26" s="9"/>
      <c r="N26" s="15">
        <f>J26/K26</f>
        <v>0.85826662787217001</v>
      </c>
    </row>
    <row r="27" spans="1:14" ht="14.25" x14ac:dyDescent="0.4">
      <c r="A27" s="11"/>
      <c r="B27" s="9" t="s">
        <v>36</v>
      </c>
      <c r="C27" s="9">
        <v>100</v>
      </c>
      <c r="D27" s="9">
        <v>2.5000000000000001E-2</v>
      </c>
      <c r="E27" s="16">
        <v>160</v>
      </c>
      <c r="F27" s="16">
        <v>220</v>
      </c>
      <c r="G27" s="9" t="s">
        <v>23</v>
      </c>
      <c r="H27" s="9">
        <v>40</v>
      </c>
      <c r="I27" s="9">
        <v>3.1976639999999994E-2</v>
      </c>
      <c r="J27" s="14">
        <f t="shared" si="0"/>
        <v>4.7726328358208949E-3</v>
      </c>
      <c r="K27" s="14">
        <v>5.2412622473457402E-3</v>
      </c>
      <c r="L27" s="9">
        <v>50</v>
      </c>
      <c r="M27" s="9"/>
      <c r="N27" s="15">
        <f>J27/K27</f>
        <v>0.91058844426985752</v>
      </c>
    </row>
    <row r="28" spans="1:14" ht="14.25" x14ac:dyDescent="0.4">
      <c r="A28" s="11"/>
      <c r="B28" s="9" t="s">
        <v>37</v>
      </c>
      <c r="C28" s="9">
        <v>100</v>
      </c>
      <c r="D28" s="9">
        <v>2.5000000000000001E-2</v>
      </c>
      <c r="E28" s="16">
        <v>195</v>
      </c>
      <c r="F28" s="16">
        <v>270</v>
      </c>
      <c r="G28" s="9" t="s">
        <v>23</v>
      </c>
      <c r="H28" s="9">
        <v>40</v>
      </c>
      <c r="I28" s="9">
        <v>4.4690442499999997E-2</v>
      </c>
      <c r="J28" s="14">
        <f t="shared" si="0"/>
        <v>6.670215298507462E-3</v>
      </c>
      <c r="K28" s="14">
        <v>7.29933044101015E-3</v>
      </c>
      <c r="L28" s="9">
        <v>50</v>
      </c>
      <c r="M28" s="9"/>
      <c r="N28" s="15">
        <f>J28/K28</f>
        <v>0.91381193828846241</v>
      </c>
    </row>
    <row r="29" spans="1:14" ht="14.25" x14ac:dyDescent="0.4">
      <c r="A29" s="11"/>
      <c r="B29" s="9" t="s">
        <v>38</v>
      </c>
      <c r="C29" s="9">
        <v>100</v>
      </c>
      <c r="D29" s="9">
        <v>2.5000000000000001E-2</v>
      </c>
      <c r="E29" s="17">
        <v>225</v>
      </c>
      <c r="F29" s="17">
        <v>310</v>
      </c>
      <c r="G29" s="9" t="s">
        <v>23</v>
      </c>
      <c r="H29" s="9">
        <v>40</v>
      </c>
      <c r="I29" s="9">
        <v>5.7158737500000008E-2</v>
      </c>
      <c r="J29" s="14">
        <f t="shared" si="0"/>
        <v>8.5311548507462694E-3</v>
      </c>
      <c r="K29" s="14">
        <v>9.3370706731997193E-3</v>
      </c>
      <c r="L29" s="9">
        <v>40</v>
      </c>
      <c r="M29" s="9"/>
      <c r="N29" s="15">
        <f>J29/K29</f>
        <v>0.91368643864218813</v>
      </c>
    </row>
    <row r="30" spans="1:14" ht="14.25" x14ac:dyDescent="0.4">
      <c r="A30" s="11"/>
      <c r="B30" s="9" t="s">
        <v>39</v>
      </c>
      <c r="C30" s="9">
        <v>100</v>
      </c>
      <c r="D30" s="9">
        <v>2.5000000000000001E-2</v>
      </c>
      <c r="E30" s="16">
        <v>270</v>
      </c>
      <c r="F30" s="16">
        <v>370</v>
      </c>
      <c r="G30" s="9" t="s">
        <v>23</v>
      </c>
      <c r="H30" s="9">
        <v>40</v>
      </c>
      <c r="I30" s="9">
        <v>7.8705421666666692E-2</v>
      </c>
      <c r="J30" s="14">
        <f t="shared" si="0"/>
        <v>1.1747077860696521E-2</v>
      </c>
      <c r="K30" s="14">
        <v>1.2921543930386701E-2</v>
      </c>
      <c r="L30" s="9">
        <v>30</v>
      </c>
      <c r="M30" s="9"/>
      <c r="N30" s="15">
        <f>J30/K30</f>
        <v>0.90910791496608478</v>
      </c>
    </row>
    <row r="31" spans="1:14" ht="14.25" x14ac:dyDescent="0.4">
      <c r="A31" s="11"/>
      <c r="B31" s="9" t="s">
        <v>40</v>
      </c>
      <c r="C31" s="9">
        <v>100</v>
      </c>
      <c r="D31" s="9">
        <v>2.5000000000000001E-2</v>
      </c>
      <c r="E31" s="16">
        <v>310</v>
      </c>
      <c r="F31" s="16">
        <v>430</v>
      </c>
      <c r="G31" s="9" t="s">
        <v>23</v>
      </c>
      <c r="H31" s="9">
        <v>40</v>
      </c>
      <c r="I31" s="9">
        <v>0.10240732500000001</v>
      </c>
      <c r="J31" s="14">
        <f t="shared" si="0"/>
        <v>1.5284675373134328E-2</v>
      </c>
      <c r="K31" s="14">
        <v>1.68926495572011E-2</v>
      </c>
      <c r="L31" s="9">
        <v>20</v>
      </c>
      <c r="M31" s="9"/>
      <c r="N31" s="15">
        <f>J31/K31</f>
        <v>0.90481219783658418</v>
      </c>
    </row>
    <row r="32" spans="1:14" ht="14.25" x14ac:dyDescent="0.4">
      <c r="A32" s="11"/>
      <c r="B32" s="9" t="s">
        <v>41</v>
      </c>
      <c r="C32" s="9">
        <v>100</v>
      </c>
      <c r="D32" s="9">
        <v>0.02</v>
      </c>
      <c r="E32" s="16">
        <v>110</v>
      </c>
      <c r="F32" s="16">
        <v>160</v>
      </c>
      <c r="G32" s="9" t="s">
        <v>22</v>
      </c>
      <c r="H32" s="9" t="s">
        <v>25</v>
      </c>
      <c r="I32" s="9">
        <v>1.0138960000000001E-2</v>
      </c>
      <c r="J32" s="14">
        <f t="shared" si="0"/>
        <v>1.5132776119402985E-3</v>
      </c>
      <c r="K32" s="14">
        <v>2.82043162289495E-3</v>
      </c>
      <c r="L32" s="9">
        <v>100</v>
      </c>
      <c r="M32" s="9"/>
      <c r="N32" s="15">
        <f>J32/K32</f>
        <v>0.53654114485748061</v>
      </c>
    </row>
    <row r="33" spans="1:14" ht="14.25" x14ac:dyDescent="0.4">
      <c r="A33" s="11"/>
      <c r="B33" s="9" t="s">
        <v>42</v>
      </c>
      <c r="C33" s="9">
        <v>100</v>
      </c>
      <c r="D33" s="9">
        <v>0.02</v>
      </c>
      <c r="E33" s="16">
        <v>120</v>
      </c>
      <c r="F33" s="16">
        <v>230</v>
      </c>
      <c r="G33" s="9" t="s">
        <v>22</v>
      </c>
      <c r="H33" s="9" t="s">
        <v>25</v>
      </c>
      <c r="I33" s="9">
        <v>1.5234960000000001E-2</v>
      </c>
      <c r="J33" s="14">
        <f t="shared" si="0"/>
        <v>2.2738746268656717E-3</v>
      </c>
      <c r="K33" s="14">
        <v>3.50486574301739E-3</v>
      </c>
      <c r="L33" s="9">
        <v>100</v>
      </c>
      <c r="M33" s="9"/>
      <c r="N33" s="15">
        <f>J33/K33</f>
        <v>0.64877652771602601</v>
      </c>
    </row>
    <row r="34" spans="1:14" ht="14.25" x14ac:dyDescent="0.4">
      <c r="A34" s="11"/>
      <c r="B34" s="9" t="s">
        <v>43</v>
      </c>
      <c r="C34" s="9">
        <v>100</v>
      </c>
      <c r="D34" s="9">
        <v>0.02</v>
      </c>
      <c r="E34" s="16">
        <v>160</v>
      </c>
      <c r="F34" s="16">
        <v>220</v>
      </c>
      <c r="G34" s="9" t="s">
        <v>22</v>
      </c>
      <c r="H34" s="9" t="s">
        <v>25</v>
      </c>
      <c r="I34" s="9">
        <v>1.9577919999999999E-2</v>
      </c>
      <c r="J34" s="14">
        <f t="shared" si="0"/>
        <v>2.9220776119402983E-3</v>
      </c>
      <c r="K34" s="14">
        <v>4.22525609547314E-3</v>
      </c>
      <c r="L34" s="9">
        <v>50</v>
      </c>
      <c r="M34" s="9"/>
      <c r="N34" s="15">
        <f>J34/K34</f>
        <v>0.69157408353802685</v>
      </c>
    </row>
    <row r="35" spans="1:14" ht="14.25" x14ac:dyDescent="0.4">
      <c r="A35" s="11"/>
      <c r="B35" s="9" t="s">
        <v>44</v>
      </c>
      <c r="C35" s="9">
        <v>100</v>
      </c>
      <c r="D35" s="9">
        <v>0.02</v>
      </c>
      <c r="E35" s="16">
        <v>195</v>
      </c>
      <c r="F35" s="16">
        <v>270</v>
      </c>
      <c r="G35" s="9" t="s">
        <v>22</v>
      </c>
      <c r="H35" s="9" t="s">
        <v>25</v>
      </c>
      <c r="I35" s="9">
        <v>2.8470440000000003E-2</v>
      </c>
      <c r="J35" s="14">
        <f t="shared" si="0"/>
        <v>4.2493194029850747E-3</v>
      </c>
      <c r="K35" s="14">
        <v>5.91453474637944E-3</v>
      </c>
      <c r="L35" s="9">
        <v>50</v>
      </c>
      <c r="M35" s="9"/>
      <c r="N35" s="15">
        <f>J35/K35</f>
        <v>0.71845370518556506</v>
      </c>
    </row>
    <row r="36" spans="1:14" ht="14.25" x14ac:dyDescent="0.4">
      <c r="A36" s="11"/>
      <c r="B36" s="9" t="s">
        <v>45</v>
      </c>
      <c r="C36" s="9">
        <v>100</v>
      </c>
      <c r="D36" s="9">
        <v>0.02</v>
      </c>
      <c r="E36" s="17">
        <v>225</v>
      </c>
      <c r="F36" s="17">
        <v>310</v>
      </c>
      <c r="G36" s="9" t="s">
        <v>22</v>
      </c>
      <c r="H36" s="9" t="s">
        <v>25</v>
      </c>
      <c r="I36" s="9">
        <v>3.7419599999999997E-2</v>
      </c>
      <c r="J36" s="14">
        <f t="shared" si="0"/>
        <v>5.5850149253731341E-3</v>
      </c>
      <c r="K36" s="14">
        <v>7.5349013246253206E-3</v>
      </c>
      <c r="L36" s="9">
        <v>40</v>
      </c>
      <c r="M36" s="9"/>
      <c r="N36" s="15">
        <f>J36/K36</f>
        <v>0.7412193849334654</v>
      </c>
    </row>
    <row r="37" spans="1:14" ht="14.25" x14ac:dyDescent="0.4">
      <c r="A37" s="11"/>
      <c r="B37" s="9" t="s">
        <v>46</v>
      </c>
      <c r="C37" s="9">
        <v>100</v>
      </c>
      <c r="D37" s="9">
        <v>0.02</v>
      </c>
      <c r="E37" s="16">
        <v>270</v>
      </c>
      <c r="F37" s="16">
        <v>370</v>
      </c>
      <c r="G37" s="9" t="s">
        <v>22</v>
      </c>
      <c r="H37" s="9" t="s">
        <v>25</v>
      </c>
      <c r="I37" s="9">
        <v>5.3175706666666669E-2</v>
      </c>
      <c r="J37" s="14">
        <f t="shared" si="0"/>
        <v>7.93667263681592E-3</v>
      </c>
      <c r="K37" s="14">
        <v>1.04599230638334E-2</v>
      </c>
      <c r="L37" s="9">
        <v>30</v>
      </c>
      <c r="M37" s="9"/>
      <c r="N37" s="15">
        <f>J37/K37</f>
        <v>0.75876969537740102</v>
      </c>
    </row>
    <row r="38" spans="1:14" ht="14.25" x14ac:dyDescent="0.4">
      <c r="A38" s="11"/>
      <c r="B38" s="9" t="s">
        <v>47</v>
      </c>
      <c r="C38" s="9">
        <v>100</v>
      </c>
      <c r="D38" s="9">
        <v>0.02</v>
      </c>
      <c r="E38" s="16">
        <v>310</v>
      </c>
      <c r="F38" s="16">
        <v>430</v>
      </c>
      <c r="G38" s="9" t="s">
        <v>22</v>
      </c>
      <c r="H38" s="9" t="s">
        <v>25</v>
      </c>
      <c r="I38" s="9">
        <v>7.0979680000000017E-2</v>
      </c>
      <c r="J38" s="14">
        <f t="shared" si="0"/>
        <v>1.0593982089552241E-2</v>
      </c>
      <c r="K38" s="14">
        <v>1.37176257631759E-2</v>
      </c>
      <c r="L38" s="9">
        <v>20</v>
      </c>
      <c r="M38" s="9"/>
      <c r="N38" s="15">
        <f>J38/K38</f>
        <v>0.77228977320485859</v>
      </c>
    </row>
    <row r="39" spans="1:14" ht="14.25" x14ac:dyDescent="0.4">
      <c r="A39" s="11"/>
      <c r="B39" s="9" t="s">
        <v>48</v>
      </c>
      <c r="C39" s="9">
        <v>100</v>
      </c>
      <c r="D39" s="9">
        <v>2.5000000000000001E-2</v>
      </c>
      <c r="E39" s="16">
        <v>110</v>
      </c>
      <c r="F39" s="16">
        <v>160</v>
      </c>
      <c r="G39" s="9" t="s">
        <v>22</v>
      </c>
      <c r="H39" s="9" t="s">
        <v>25</v>
      </c>
      <c r="I39" s="9">
        <v>1.2140959999999998E-2</v>
      </c>
      <c r="J39" s="14">
        <f t="shared" si="0"/>
        <v>1.8120835820895518E-3</v>
      </c>
      <c r="K39" s="14">
        <v>2.8656036227409998E-3</v>
      </c>
      <c r="L39" s="9">
        <v>100</v>
      </c>
      <c r="M39" s="9"/>
      <c r="N39" s="15">
        <f>J39/K39</f>
        <v>0.63235667616732782</v>
      </c>
    </row>
    <row r="40" spans="1:14" ht="14.25" x14ac:dyDescent="0.4">
      <c r="A40" s="11"/>
      <c r="B40" s="9" t="s">
        <v>49</v>
      </c>
      <c r="C40" s="9">
        <v>100</v>
      </c>
      <c r="D40" s="9">
        <v>2.5000000000000001E-2</v>
      </c>
      <c r="E40" s="16">
        <v>120</v>
      </c>
      <c r="F40" s="16">
        <v>230</v>
      </c>
      <c r="G40" s="9" t="s">
        <v>22</v>
      </c>
      <c r="H40" s="9" t="s">
        <v>25</v>
      </c>
      <c r="I40" s="9">
        <v>1.8374459999999995E-2</v>
      </c>
      <c r="J40" s="14">
        <f t="shared" si="0"/>
        <v>2.7424567164179097E-3</v>
      </c>
      <c r="K40" s="14">
        <v>4.0131580746114795E-3</v>
      </c>
      <c r="L40" s="9">
        <v>100</v>
      </c>
      <c r="M40" s="9"/>
      <c r="N40" s="15">
        <f>J40/K40</f>
        <v>0.68336623313384226</v>
      </c>
    </row>
    <row r="41" spans="1:14" ht="14.25" x14ac:dyDescent="0.4">
      <c r="A41" s="11"/>
      <c r="B41" s="9" t="s">
        <v>50</v>
      </c>
      <c r="C41" s="9">
        <v>100</v>
      </c>
      <c r="D41" s="9">
        <v>2.5000000000000001E-2</v>
      </c>
      <c r="E41" s="16">
        <v>160</v>
      </c>
      <c r="F41" s="16">
        <v>220</v>
      </c>
      <c r="G41" s="9" t="s">
        <v>22</v>
      </c>
      <c r="H41" s="9" t="s">
        <v>25</v>
      </c>
      <c r="I41" s="9">
        <v>2.3581919999999996E-2</v>
      </c>
      <c r="J41" s="14">
        <f t="shared" si="0"/>
        <v>3.5196895522388054E-3</v>
      </c>
      <c r="K41" s="14">
        <v>4.87590020627788E-3</v>
      </c>
      <c r="L41" s="9">
        <v>50</v>
      </c>
      <c r="M41" s="9"/>
      <c r="N41" s="15">
        <f>J41/K41</f>
        <v>0.72185430450506161</v>
      </c>
    </row>
    <row r="42" spans="1:14" ht="14.25" x14ac:dyDescent="0.4">
      <c r="A42" s="11"/>
      <c r="B42" s="9" t="s">
        <v>51</v>
      </c>
      <c r="C42" s="9">
        <v>100</v>
      </c>
      <c r="D42" s="9">
        <v>2.5000000000000001E-2</v>
      </c>
      <c r="E42" s="16">
        <v>195</v>
      </c>
      <c r="F42" s="16">
        <v>270</v>
      </c>
      <c r="G42" s="9" t="s">
        <v>22</v>
      </c>
      <c r="H42" s="9" t="s">
        <v>25</v>
      </c>
      <c r="I42" s="9">
        <v>3.4459377499999999E-2</v>
      </c>
      <c r="J42" s="14">
        <f t="shared" si="0"/>
        <v>5.1431906716417905E-3</v>
      </c>
      <c r="K42" s="14">
        <v>6.8542718698299697E-3</v>
      </c>
      <c r="L42" s="9">
        <v>50</v>
      </c>
      <c r="M42" s="9"/>
      <c r="N42" s="15">
        <f>J42/K42</f>
        <v>0.75036280575333747</v>
      </c>
    </row>
    <row r="43" spans="1:14" ht="14.25" x14ac:dyDescent="0.4">
      <c r="A43" s="11"/>
      <c r="B43" s="9" t="s">
        <v>52</v>
      </c>
      <c r="C43" s="9">
        <v>100</v>
      </c>
      <c r="D43" s="9">
        <v>2.5000000000000001E-2</v>
      </c>
      <c r="E43" s="17">
        <v>225</v>
      </c>
      <c r="F43" s="17">
        <v>310</v>
      </c>
      <c r="G43" s="9" t="s">
        <v>22</v>
      </c>
      <c r="H43" s="9" t="s">
        <v>25</v>
      </c>
      <c r="I43" s="9">
        <v>4.5353662500000003E-2</v>
      </c>
      <c r="J43" s="14">
        <f t="shared" si="0"/>
        <v>6.7692033582089552E-3</v>
      </c>
      <c r="K43" s="14">
        <v>8.8291226822857297E-3</v>
      </c>
      <c r="L43" s="9">
        <v>40</v>
      </c>
      <c r="M43" s="9"/>
      <c r="N43" s="15">
        <f>J43/K43</f>
        <v>0.76669037250896011</v>
      </c>
    </row>
    <row r="44" spans="1:14" ht="14.25" x14ac:dyDescent="0.4">
      <c r="A44" s="11"/>
      <c r="B44" s="9" t="s">
        <v>53</v>
      </c>
      <c r="C44" s="9">
        <v>100</v>
      </c>
      <c r="D44" s="9">
        <v>2.5000000000000001E-2</v>
      </c>
      <c r="E44" s="16">
        <v>270</v>
      </c>
      <c r="F44" s="16">
        <v>370</v>
      </c>
      <c r="G44" s="9" t="s">
        <v>22</v>
      </c>
      <c r="H44" s="9" t="s">
        <v>25</v>
      </c>
      <c r="I44" s="9">
        <v>6.4539331666666672E-2</v>
      </c>
      <c r="J44" s="14">
        <f t="shared" si="0"/>
        <v>9.6327360696517421E-3</v>
      </c>
      <c r="K44" s="14">
        <v>1.2311232274424299E-2</v>
      </c>
      <c r="L44" s="9">
        <v>30</v>
      </c>
      <c r="M44" s="9"/>
      <c r="N44" s="15">
        <f>J44/K44</f>
        <v>0.78243475997630707</v>
      </c>
    </row>
    <row r="45" spans="1:14" ht="14.25" x14ac:dyDescent="0.4">
      <c r="A45" s="11"/>
      <c r="B45" s="9" t="s">
        <v>54</v>
      </c>
      <c r="C45" s="9">
        <v>100</v>
      </c>
      <c r="D45" s="9">
        <v>2.5000000000000001E-2</v>
      </c>
      <c r="E45" s="16">
        <v>310</v>
      </c>
      <c r="F45" s="16">
        <v>430</v>
      </c>
      <c r="G45" s="9" t="s">
        <v>22</v>
      </c>
      <c r="H45" s="9" t="s">
        <v>25</v>
      </c>
      <c r="I45" s="9">
        <v>8.6142555000000023E-2</v>
      </c>
      <c r="J45" s="14">
        <f>I45/6.7</f>
        <v>1.2857097761194033E-2</v>
      </c>
      <c r="K45" s="14">
        <v>1.6185158368956801E-2</v>
      </c>
      <c r="L45" s="9">
        <v>20</v>
      </c>
      <c r="M45" s="9"/>
      <c r="N45" s="15">
        <f>J45/K45</f>
        <v>0.79437577736984011</v>
      </c>
    </row>
  </sheetData>
  <mergeCells count="2">
    <mergeCell ref="A4:A17"/>
    <mergeCell ref="A18:A45"/>
  </mergeCells>
  <phoneticPr fontId="1"/>
  <dataValidations count="1">
    <dataValidation type="list" allowBlank="1" showInputMessage="1" showErrorMessage="1" sqref="G4:G45" xr:uid="{2FCA70D5-E6AC-49C2-8AC1-69929AB21BF3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OPP袋テープ無し</vt:lpstr>
    </vt:vector>
  </TitlesOfParts>
  <Company>MonotaRO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我妻　康平</dc:creator>
  <cp:lastModifiedBy>晓东 刘</cp:lastModifiedBy>
  <dcterms:created xsi:type="dcterms:W3CDTF">2025-08-14T04:52:23Z</dcterms:created>
  <dcterms:modified xsi:type="dcterms:W3CDTF">2026-10-23T08:30:04Z</dcterms:modified>
</cp:coreProperties>
</file>