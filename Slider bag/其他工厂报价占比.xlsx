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Ai项目\世科报价系统\Slider bag\"/>
    </mc:Choice>
  </mc:AlternateContent>
  <xr:revisionPtr revIDLastSave="0" documentId="13_ncr:1_{696A5A82-9E6B-47A1-A3F4-0F841D9BEB7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L7" i="1" s="1"/>
  <c r="M7" i="1" s="1"/>
  <c r="J8" i="1"/>
  <c r="L8" i="1" s="1"/>
  <c r="M8" i="1" s="1"/>
  <c r="H7" i="1"/>
  <c r="H8" i="1"/>
  <c r="H6" i="1"/>
  <c r="H5" i="1"/>
  <c r="J6" i="1"/>
  <c r="J5" i="1"/>
  <c r="L6" i="1" l="1"/>
  <c r="M6" i="1" s="1"/>
  <c r="L5" i="1"/>
  <c r="M5" i="1" s="1"/>
</calcChain>
</file>

<file path=xl/sharedStrings.xml><?xml version="1.0" encoding="utf-8"?>
<sst xmlns="http://schemas.openxmlformats.org/spreadsheetml/2006/main" count="21" uniqueCount="18">
  <si>
    <t>产品</t>
  </si>
  <si>
    <t>厚度</t>
  </si>
  <si>
    <t>枚/盒</t>
  </si>
  <si>
    <t>盒/箱</t>
  </si>
  <si>
    <t>汇率</t>
  </si>
  <si>
    <t>报价单只价格（人民币）</t>
  </si>
  <si>
    <t>盒子价格每款1万个</t>
  </si>
  <si>
    <t>盒子平均到每个袋子成本</t>
  </si>
  <si>
    <t>纸箱成本</t>
  </si>
  <si>
    <t>纸箱平均到每个袋子成本</t>
  </si>
  <si>
    <t>原材料成本（不含盒子纸箱）</t>
  </si>
  <si>
    <t>合计成本</t>
  </si>
  <si>
    <t>报价占比</t>
  </si>
  <si>
    <t>6丝</t>
  </si>
  <si>
    <t xml:space="preserve">滑块袋L号 22枚                     </t>
  </si>
  <si>
    <t xml:space="preserve">滑块袋M号 40枚                    </t>
    <phoneticPr fontId="2" type="noConversion"/>
  </si>
  <si>
    <t>滑块袋M号 14枚</t>
    <phoneticPr fontId="2" type="noConversion"/>
  </si>
  <si>
    <t xml:space="preserve">滑块袋L号 8枚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</si>
</sst>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9" formatCode="0_ "/>
    <numFmt numFmtId="180" formatCode="0.0000_ "/>
  </numFmts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180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N14"/>
  <sheetViews>
    <sheetView tabSelected="1" topLeftCell="A4" workbookViewId="0">
      <selection activeCell="F21" sqref="F21"/>
    </sheetView>
  </sheetViews>
  <sheetFormatPr defaultColWidth="9" defaultRowHeight="13.5" x14ac:dyDescent="0.3"/>
  <cols>
    <col min="1" max="1" width="15.3984375" customWidth="1"/>
    <col min="2" max="3" width="10.73046875" customWidth="1"/>
    <col min="4" max="4" width="8.1328125" customWidth="1"/>
    <col min="5" max="5" width="9.46484375" customWidth="1"/>
    <col min="6" max="6" width="15.73046875" customWidth="1"/>
    <col min="7" max="7" width="19.59765625" customWidth="1"/>
    <col min="8" max="8" width="23.3984375" customWidth="1"/>
    <col min="9" max="9" width="11.73046875" customWidth="1"/>
    <col min="10" max="10" width="23.59765625" customWidth="1"/>
    <col min="11" max="11" width="20.46484375" customWidth="1"/>
    <col min="12" max="12" width="17.59765625" customWidth="1"/>
    <col min="13" max="13" width="21.46484375" customWidth="1"/>
    <col min="14" max="14" width="12.59765625"/>
  </cols>
  <sheetData>
    <row r="4" spans="1:14" ht="27" x14ac:dyDescent="0.3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3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2" t="s">
        <v>12</v>
      </c>
    </row>
    <row r="5" spans="1:14" x14ac:dyDescent="0.3">
      <c r="A5" s="9" t="s">
        <v>15</v>
      </c>
      <c r="B5" s="2" t="s">
        <v>13</v>
      </c>
      <c r="C5" s="5">
        <v>40</v>
      </c>
      <c r="D5" s="2">
        <v>24</v>
      </c>
      <c r="E5" s="2">
        <v>6.7</v>
      </c>
      <c r="F5" s="16">
        <v>0.14530625000000003</v>
      </c>
      <c r="G5" s="2">
        <v>0.51</v>
      </c>
      <c r="H5" s="2">
        <f>G5/C5</f>
        <v>1.2750000000000001E-2</v>
      </c>
      <c r="I5" s="2">
        <v>4.3</v>
      </c>
      <c r="J5" s="2">
        <f>I5/D5/C5</f>
        <v>4.4791666666666669E-3</v>
      </c>
      <c r="K5" s="6">
        <v>8.1820000000000004E-2</v>
      </c>
      <c r="L5" s="6">
        <f>K5+J5+H5</f>
        <v>9.9049166666666674E-2</v>
      </c>
      <c r="M5" s="7">
        <f>L5/F5</f>
        <v>0.68165799245845693</v>
      </c>
    </row>
    <row r="6" spans="1:14" x14ac:dyDescent="0.3">
      <c r="A6" s="4" t="s">
        <v>14</v>
      </c>
      <c r="B6" s="2" t="s">
        <v>13</v>
      </c>
      <c r="C6" s="5">
        <v>22</v>
      </c>
      <c r="D6" s="2">
        <v>24</v>
      </c>
      <c r="E6" s="2">
        <v>6.7</v>
      </c>
      <c r="F6" s="16">
        <v>0.27916666666666667</v>
      </c>
      <c r="G6" s="2">
        <v>0.48</v>
      </c>
      <c r="H6" s="2">
        <f>G6/C6</f>
        <v>2.1818181818181816E-2</v>
      </c>
      <c r="I6" s="2">
        <v>4</v>
      </c>
      <c r="J6" s="2">
        <f>I6/D6/C6</f>
        <v>7.5757575757575751E-3</v>
      </c>
      <c r="K6" s="6">
        <v>0.14482</v>
      </c>
      <c r="L6" s="6">
        <f>K6+J6+H6</f>
        <v>0.17421393939393939</v>
      </c>
      <c r="M6" s="7">
        <f>L6/F6</f>
        <v>0.62404993215739479</v>
      </c>
    </row>
    <row r="7" spans="1:14" x14ac:dyDescent="0.3">
      <c r="A7" s="10" t="s">
        <v>16</v>
      </c>
      <c r="B7" s="11" t="s">
        <v>13</v>
      </c>
      <c r="C7" s="17">
        <v>14</v>
      </c>
      <c r="D7" s="11">
        <v>80</v>
      </c>
      <c r="E7" s="11">
        <v>6.7</v>
      </c>
      <c r="F7" s="18">
        <v>0.18036160714285701</v>
      </c>
      <c r="G7" s="11">
        <v>0.39</v>
      </c>
      <c r="H7" s="11">
        <f t="shared" ref="H7:H8" si="0">G7/C7</f>
        <v>2.7857142857142858E-2</v>
      </c>
      <c r="I7" s="11">
        <v>4.5999999999999996</v>
      </c>
      <c r="J7" s="11">
        <f t="shared" ref="J7:J8" si="1">I7/D7/C7</f>
        <v>4.1071428571428569E-3</v>
      </c>
      <c r="K7" s="13">
        <v>9.4875111111111105E-2</v>
      </c>
      <c r="L7" s="13">
        <f>K7+J7+H7</f>
        <v>0.1268393968253968</v>
      </c>
      <c r="M7" s="14">
        <f t="shared" ref="M7:M8" si="2">L7/F7</f>
        <v>0.70325053560280448</v>
      </c>
      <c r="N7" s="12"/>
    </row>
    <row r="8" spans="1:14" x14ac:dyDescent="0.3">
      <c r="A8" s="10" t="s">
        <v>17</v>
      </c>
      <c r="B8" s="11" t="s">
        <v>13</v>
      </c>
      <c r="C8" s="17">
        <v>8</v>
      </c>
      <c r="D8" s="11">
        <v>80</v>
      </c>
      <c r="E8" s="11">
        <v>6.7</v>
      </c>
      <c r="F8" s="18">
        <v>0.29019374999999997</v>
      </c>
      <c r="G8" s="11">
        <v>0.42</v>
      </c>
      <c r="H8" s="11">
        <f t="shared" si="0"/>
        <v>5.2499999999999998E-2</v>
      </c>
      <c r="I8" s="11">
        <v>4.8</v>
      </c>
      <c r="J8" s="11">
        <f t="shared" si="1"/>
        <v>7.4999999999999997E-3</v>
      </c>
      <c r="K8" s="13">
        <v>0.16132964444444445</v>
      </c>
      <c r="L8" s="13">
        <f>K8+J8+H8</f>
        <v>0.22132964444444445</v>
      </c>
      <c r="M8" s="14">
        <f t="shared" si="2"/>
        <v>0.76269611059660813</v>
      </c>
      <c r="N8" s="12"/>
    </row>
    <row r="9" spans="1:1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5"/>
      <c r="M10" s="12"/>
      <c r="N10" s="12"/>
    </row>
    <row r="11" spans="1:14" x14ac:dyDescent="0.3">
      <c r="L11" s="8"/>
    </row>
    <row r="12" spans="1:14" x14ac:dyDescent="0.3">
      <c r="L12" s="8"/>
    </row>
    <row r="13" spans="1:14" x14ac:dyDescent="0.3">
      <c r="L13" s="8"/>
    </row>
    <row r="14" spans="1:14" x14ac:dyDescent="0.3">
      <c r="L14" s="8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晓东 刘</cp:lastModifiedBy>
  <dcterms:created xsi:type="dcterms:W3CDTF">2026-04-22T05:37:00Z</dcterms:created>
  <dcterms:modified xsi:type="dcterms:W3CDTF">2026-10-22T02:20:00Z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6C31298780B4427E92E33AC043B9C9B8_11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