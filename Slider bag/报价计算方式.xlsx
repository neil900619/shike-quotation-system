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Ai项目\世科报价系统\Slider bag\"/>
    </mc:Choice>
  </mc:AlternateContent>
  <xr:revisionPtr revIDLastSave="0" documentId="13_ncr:1_{FCFAB1DB-988A-4CD7-A6A8-BFEBD02CE48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原材料成本计算方法" sheetId="16" r:id="rId1"/>
    <sheet name="Sheet1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6" l="1"/>
  <c r="B34" i="16"/>
  <c r="B39" i="16"/>
  <c r="B45" i="16"/>
  <c r="H3" i="17" s="1"/>
  <c r="B44" i="16"/>
  <c r="G3" i="17" s="1"/>
  <c r="B42" i="16"/>
  <c r="F3" i="17" s="1"/>
  <c r="B41" i="16"/>
  <c r="D3" i="17" s="1"/>
  <c r="B33" i="16"/>
  <c r="B38" i="16"/>
  <c r="B37" i="16"/>
  <c r="D11" i="16"/>
  <c r="B11" i="16"/>
  <c r="B32" i="16" s="1"/>
  <c r="E3" i="17" l="1"/>
  <c r="B40" i="16"/>
  <c r="C3" i="17" s="1"/>
  <c r="B36" i="16"/>
  <c r="B46" i="16" l="1"/>
  <c r="B43" i="16"/>
  <c r="B3" i="17"/>
  <c r="I3" i="17" s="1"/>
</calcChain>
</file>

<file path=xl/sharedStrings.xml><?xml version="1.0" encoding="utf-8"?>
<sst xmlns="http://schemas.openxmlformats.org/spreadsheetml/2006/main" count="82" uniqueCount="67">
  <si>
    <t>其他</t>
    <phoneticPr fontId="3" type="noConversion"/>
  </si>
  <si>
    <t>长（mm)</t>
    <phoneticPr fontId="3" type="noConversion"/>
  </si>
  <si>
    <t>宽（mm)</t>
    <phoneticPr fontId="3" type="noConversion"/>
  </si>
  <si>
    <t>厚度（mm)</t>
    <phoneticPr fontId="3" type="noConversion"/>
  </si>
  <si>
    <t>插底（mm)</t>
    <phoneticPr fontId="3" type="noConversion"/>
  </si>
  <si>
    <t>长度飞边（mm)</t>
    <phoneticPr fontId="3" type="noConversion"/>
  </si>
  <si>
    <t>拉链条米克重</t>
    <phoneticPr fontId="3" type="noConversion"/>
  </si>
  <si>
    <t>拉链颜色</t>
    <phoneticPr fontId="3" type="noConversion"/>
  </si>
  <si>
    <t>瓷白</t>
  </si>
  <si>
    <t>包装方式</t>
    <phoneticPr fontId="3" type="noConversion"/>
  </si>
  <si>
    <t>盒装</t>
  </si>
  <si>
    <t>盒入数</t>
    <phoneticPr fontId="3" type="noConversion"/>
  </si>
  <si>
    <t>箱入数</t>
    <phoneticPr fontId="3" type="noConversion"/>
  </si>
  <si>
    <t>LDPE</t>
    <phoneticPr fontId="3" type="noConversion"/>
  </si>
  <si>
    <t>LLDPE</t>
    <phoneticPr fontId="3" type="noConversion"/>
  </si>
  <si>
    <t>MLLDPE</t>
    <phoneticPr fontId="3" type="noConversion"/>
  </si>
  <si>
    <t>HDPE</t>
    <phoneticPr fontId="3" type="noConversion"/>
  </si>
  <si>
    <t>彩盒</t>
    <phoneticPr fontId="3" type="noConversion"/>
  </si>
  <si>
    <t>需要输入的信息</t>
    <phoneticPr fontId="3" type="noConversion"/>
  </si>
  <si>
    <t>产品信息</t>
    <phoneticPr fontId="3" type="noConversion"/>
  </si>
  <si>
    <t>原料配比/份数（袋本体）</t>
    <phoneticPr fontId="3" type="noConversion"/>
  </si>
  <si>
    <t>原料配比/份数（拉链）</t>
    <phoneticPr fontId="3" type="noConversion"/>
  </si>
  <si>
    <t>色母</t>
    <phoneticPr fontId="3" type="noConversion"/>
  </si>
  <si>
    <t>LDPE（份数）</t>
    <phoneticPr fontId="3" type="noConversion"/>
  </si>
  <si>
    <t>LLDPE（份数）</t>
    <phoneticPr fontId="3" type="noConversion"/>
  </si>
  <si>
    <t>MLLDPE（份数）</t>
    <phoneticPr fontId="3" type="noConversion"/>
  </si>
  <si>
    <t>HDPE（份数）</t>
    <phoneticPr fontId="3" type="noConversion"/>
  </si>
  <si>
    <t>物料价格</t>
    <phoneticPr fontId="3" type="noConversion"/>
  </si>
  <si>
    <t>印刷</t>
    <phoneticPr fontId="3" type="noConversion"/>
  </si>
  <si>
    <t>一色</t>
  </si>
  <si>
    <t>水墨</t>
    <phoneticPr fontId="3" type="noConversion"/>
  </si>
  <si>
    <t>元/吨</t>
    <phoneticPr fontId="3" type="noConversion"/>
  </si>
  <si>
    <t>元/千克</t>
    <phoneticPr fontId="3" type="noConversion"/>
  </si>
  <si>
    <t>热熔胶</t>
    <phoneticPr fontId="3" type="noConversion"/>
  </si>
  <si>
    <t>外箱</t>
    <phoneticPr fontId="3" type="noConversion"/>
  </si>
  <si>
    <t>元/个</t>
    <phoneticPr fontId="3" type="noConversion"/>
  </si>
  <si>
    <t>袋本体重量计算公式，0.00092为PE的密度</t>
    <phoneticPr fontId="3" type="noConversion"/>
  </si>
  <si>
    <t>袋本体重量（成品）</t>
    <phoneticPr fontId="3" type="noConversion"/>
  </si>
  <si>
    <t>袋本体重量（吹膜）</t>
    <phoneticPr fontId="3" type="noConversion"/>
  </si>
  <si>
    <t>飞边部分也要算入成本中</t>
    <phoneticPr fontId="3" type="noConversion"/>
  </si>
  <si>
    <t>可印只/桶</t>
    <phoneticPr fontId="3" type="noConversion"/>
  </si>
  <si>
    <t>袋本体原料成本</t>
    <phoneticPr fontId="3" type="noConversion"/>
  </si>
  <si>
    <t>水墨成本</t>
    <phoneticPr fontId="3" type="noConversion"/>
  </si>
  <si>
    <t>成本计算（每个袋子）</t>
    <phoneticPr fontId="3" type="noConversion"/>
  </si>
  <si>
    <t>没桶18kg</t>
    <phoneticPr fontId="3" type="noConversion"/>
  </si>
  <si>
    <t>印刷版</t>
    <phoneticPr fontId="3" type="noConversion"/>
  </si>
  <si>
    <t>印刷版成本</t>
    <phoneticPr fontId="3" type="noConversion"/>
  </si>
  <si>
    <t>每个版能印10万米</t>
    <phoneticPr fontId="3" type="noConversion"/>
  </si>
  <si>
    <t>拉链条重量</t>
    <phoneticPr fontId="3" type="noConversion"/>
  </si>
  <si>
    <t>拉链条成本</t>
    <phoneticPr fontId="3" type="noConversion"/>
  </si>
  <si>
    <t>袋本体混合原料成本</t>
    <phoneticPr fontId="3" type="noConversion"/>
  </si>
  <si>
    <t>拉链条混合原料成本</t>
    <phoneticPr fontId="3" type="noConversion"/>
  </si>
  <si>
    <t>拉链头成本</t>
    <phoneticPr fontId="3" type="noConversion"/>
  </si>
  <si>
    <t>拉链头</t>
    <phoneticPr fontId="3" type="noConversion"/>
  </si>
  <si>
    <t>每个袋子摊热熔胶成本</t>
    <phoneticPr fontId="3" type="noConversion"/>
  </si>
  <si>
    <t>热熔胶每盒用量0.7g</t>
    <phoneticPr fontId="3" type="noConversion"/>
  </si>
  <si>
    <t>每个袋子摊彩盒成本</t>
    <phoneticPr fontId="3" type="noConversion"/>
  </si>
  <si>
    <t>每个袋子摊纸箱成本</t>
    <phoneticPr fontId="3" type="noConversion"/>
  </si>
  <si>
    <t>合计成本</t>
    <phoneticPr fontId="3" type="noConversion"/>
  </si>
  <si>
    <t>L22</t>
    <phoneticPr fontId="3" type="noConversion"/>
  </si>
  <si>
    <t>袋本体</t>
    <phoneticPr fontId="3" type="noConversion"/>
  </si>
  <si>
    <t>拉链</t>
    <phoneticPr fontId="3" type="noConversion"/>
  </si>
  <si>
    <t>盒</t>
    <phoneticPr fontId="3" type="noConversion"/>
  </si>
  <si>
    <t>箱</t>
    <phoneticPr fontId="3" type="noConversion"/>
  </si>
  <si>
    <t>打胶</t>
    <phoneticPr fontId="3" type="noConversion"/>
  </si>
  <si>
    <t>合计</t>
    <phoneticPr fontId="3" type="noConversion"/>
  </si>
  <si>
    <t>原料成本（不含包装）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</si>
</sst>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83AD-8CB7-4F0C-A681-D6779EC3025D}">
  <dimension ref="A1:H46"/>
  <sheetViews>
    <sheetView tabSelected="1" topLeftCell="A3" workbookViewId="0">
      <selection activeCell="H16" sqref="H16"/>
    </sheetView>
  </sheetViews>
  <sheetFormatPr defaultRowHeight="13.5" x14ac:dyDescent="0.3"/>
  <cols>
    <col min="1" max="1" width="20.6640625" customWidth="1"/>
    <col min="2" max="2" width="14.265625" customWidth="1"/>
    <col min="3" max="3" width="38.1328125" customWidth="1"/>
    <col min="4" max="4" width="18.6640625" customWidth="1"/>
    <col min="5" max="6" width="9.73046875" customWidth="1"/>
    <col min="7" max="7" width="15.1328125" customWidth="1"/>
    <col min="8" max="8" width="20.265625" customWidth="1"/>
  </cols>
  <sheetData>
    <row r="1" spans="1:8" x14ac:dyDescent="0.3">
      <c r="A1" s="26" t="s">
        <v>18</v>
      </c>
      <c r="B1" s="26"/>
      <c r="C1" s="26"/>
      <c r="D1" s="26"/>
    </row>
    <row r="2" spans="1:8" x14ac:dyDescent="0.3">
      <c r="A2" s="26"/>
      <c r="B2" s="26"/>
      <c r="C2" s="26"/>
      <c r="D2" s="26"/>
    </row>
    <row r="3" spans="1:8" ht="25.15" customHeight="1" x14ac:dyDescent="0.3">
      <c r="A3" s="25" t="s">
        <v>19</v>
      </c>
      <c r="B3" s="25"/>
      <c r="C3" s="25"/>
      <c r="D3" s="25"/>
    </row>
    <row r="4" spans="1:8" ht="13.5" customHeight="1" x14ac:dyDescent="0.3">
      <c r="A4" s="3" t="s">
        <v>1</v>
      </c>
      <c r="B4" s="3">
        <v>270</v>
      </c>
      <c r="C4" s="3" t="s">
        <v>2</v>
      </c>
      <c r="D4" s="3">
        <v>350</v>
      </c>
      <c r="E4" s="2"/>
      <c r="F4" s="2"/>
      <c r="G4" s="2"/>
      <c r="H4" s="2"/>
    </row>
    <row r="5" spans="1:8" ht="13.5" customHeight="1" x14ac:dyDescent="0.3">
      <c r="A5" s="3" t="s">
        <v>3</v>
      </c>
      <c r="B5" s="3">
        <v>0.06</v>
      </c>
      <c r="C5" s="3" t="s">
        <v>4</v>
      </c>
      <c r="D5" s="3">
        <v>20</v>
      </c>
      <c r="E5" s="2"/>
      <c r="F5" s="2"/>
      <c r="G5" s="2"/>
      <c r="H5" s="2"/>
    </row>
    <row r="6" spans="1:8" ht="13.5" customHeight="1" x14ac:dyDescent="0.3">
      <c r="A6" s="12" t="s">
        <v>5</v>
      </c>
      <c r="B6" s="3">
        <v>10</v>
      </c>
      <c r="C6" s="12" t="s">
        <v>6</v>
      </c>
      <c r="D6" s="3">
        <v>8.5</v>
      </c>
      <c r="E6" s="2"/>
      <c r="F6" s="2"/>
      <c r="G6" s="2"/>
      <c r="H6" s="2"/>
    </row>
    <row r="7" spans="1:8" x14ac:dyDescent="0.3">
      <c r="A7" s="13" t="s">
        <v>9</v>
      </c>
      <c r="B7" s="4" t="s">
        <v>10</v>
      </c>
      <c r="C7" s="13" t="s">
        <v>7</v>
      </c>
      <c r="D7" s="1" t="s">
        <v>8</v>
      </c>
    </row>
    <row r="8" spans="1:8" x14ac:dyDescent="0.3">
      <c r="A8" s="3" t="s">
        <v>11</v>
      </c>
      <c r="B8" s="4">
        <v>8</v>
      </c>
      <c r="C8" s="1" t="s">
        <v>12</v>
      </c>
      <c r="D8" s="4">
        <v>80</v>
      </c>
    </row>
    <row r="9" spans="1:8" x14ac:dyDescent="0.3">
      <c r="A9" s="3" t="s">
        <v>28</v>
      </c>
      <c r="B9" s="4" t="s">
        <v>29</v>
      </c>
      <c r="C9" s="7" t="s">
        <v>40</v>
      </c>
      <c r="D9" s="8">
        <v>160000</v>
      </c>
    </row>
    <row r="10" spans="1:8" ht="20.65" customHeight="1" x14ac:dyDescent="0.3">
      <c r="A10" s="19" t="s">
        <v>20</v>
      </c>
      <c r="B10" s="20"/>
      <c r="C10" s="20"/>
      <c r="D10" s="21"/>
    </row>
    <row r="11" spans="1:8" ht="17.649999999999999" customHeight="1" x14ac:dyDescent="0.3">
      <c r="A11" s="12" t="s">
        <v>13</v>
      </c>
      <c r="B11" s="11">
        <f>1/3</f>
        <v>0.33333333333333331</v>
      </c>
      <c r="C11" s="13" t="s">
        <v>14</v>
      </c>
      <c r="D11" s="11">
        <f>2/3</f>
        <v>0.66666666666666663</v>
      </c>
    </row>
    <row r="12" spans="1:8" ht="21.4" customHeight="1" x14ac:dyDescent="0.3">
      <c r="A12" s="19" t="s">
        <v>21</v>
      </c>
      <c r="B12" s="20"/>
      <c r="C12" s="20"/>
      <c r="D12" s="21"/>
    </row>
    <row r="13" spans="1:8" ht="18.399999999999999" customHeight="1" x14ac:dyDescent="0.3">
      <c r="A13" s="27" t="s">
        <v>22</v>
      </c>
      <c r="B13" s="27"/>
      <c r="C13" s="17">
        <v>0.02</v>
      </c>
      <c r="D13" s="17"/>
      <c r="E13" s="17"/>
    </row>
    <row r="14" spans="1:8" x14ac:dyDescent="0.3">
      <c r="A14" s="18" t="s">
        <v>0</v>
      </c>
      <c r="B14" s="18"/>
      <c r="C14" s="12" t="s">
        <v>23</v>
      </c>
      <c r="D14" s="3">
        <v>100</v>
      </c>
      <c r="E14" s="15">
        <v>0.98</v>
      </c>
      <c r="F14" s="10"/>
      <c r="G14" s="9"/>
    </row>
    <row r="15" spans="1:8" x14ac:dyDescent="0.3">
      <c r="A15" s="18"/>
      <c r="B15" s="18"/>
      <c r="C15" s="13" t="s">
        <v>24</v>
      </c>
      <c r="D15" s="3">
        <v>20</v>
      </c>
      <c r="E15" s="16"/>
      <c r="F15" s="10"/>
      <c r="G15" s="9"/>
    </row>
    <row r="16" spans="1:8" x14ac:dyDescent="0.3">
      <c r="A16" s="18"/>
      <c r="B16" s="18"/>
      <c r="C16" s="12" t="s">
        <v>25</v>
      </c>
      <c r="D16" s="3">
        <v>10</v>
      </c>
      <c r="E16" s="16"/>
      <c r="F16" s="10"/>
      <c r="G16" s="9"/>
    </row>
    <row r="17" spans="1:7" x14ac:dyDescent="0.3">
      <c r="A17" s="18"/>
      <c r="B17" s="18"/>
      <c r="C17" s="13" t="s">
        <v>26</v>
      </c>
      <c r="D17" s="3">
        <v>5</v>
      </c>
      <c r="E17" s="16"/>
      <c r="F17" s="10"/>
      <c r="G17" s="9"/>
    </row>
    <row r="18" spans="1:7" ht="22.5" customHeight="1" x14ac:dyDescent="0.3">
      <c r="A18" s="22" t="s">
        <v>27</v>
      </c>
      <c r="B18" s="23"/>
      <c r="C18" s="24"/>
    </row>
    <row r="19" spans="1:7" x14ac:dyDescent="0.3">
      <c r="A19" s="1" t="s">
        <v>13</v>
      </c>
      <c r="B19" s="4">
        <v>13500</v>
      </c>
      <c r="C19" s="1" t="s">
        <v>31</v>
      </c>
    </row>
    <row r="20" spans="1:7" x14ac:dyDescent="0.3">
      <c r="A20" s="1" t="s">
        <v>14</v>
      </c>
      <c r="B20" s="4">
        <v>10500</v>
      </c>
      <c r="C20" s="1" t="s">
        <v>31</v>
      </c>
    </row>
    <row r="21" spans="1:7" x14ac:dyDescent="0.3">
      <c r="A21" s="1" t="s">
        <v>15</v>
      </c>
      <c r="B21" s="4">
        <v>12500</v>
      </c>
      <c r="C21" s="1" t="s">
        <v>31</v>
      </c>
    </row>
    <row r="22" spans="1:7" x14ac:dyDescent="0.3">
      <c r="A22" s="1" t="s">
        <v>16</v>
      </c>
      <c r="B22" s="4">
        <v>11000</v>
      </c>
      <c r="C22" s="1" t="s">
        <v>31</v>
      </c>
    </row>
    <row r="23" spans="1:7" x14ac:dyDescent="0.3">
      <c r="A23" s="1" t="s">
        <v>22</v>
      </c>
      <c r="B23" s="4">
        <v>20000</v>
      </c>
      <c r="C23" s="1" t="s">
        <v>31</v>
      </c>
    </row>
    <row r="24" spans="1:7" x14ac:dyDescent="0.3">
      <c r="A24" s="1" t="s">
        <v>30</v>
      </c>
      <c r="B24" s="4">
        <v>45</v>
      </c>
      <c r="C24" s="1" t="s">
        <v>32</v>
      </c>
    </row>
    <row r="25" spans="1:7" x14ac:dyDescent="0.3">
      <c r="A25" s="1" t="s">
        <v>53</v>
      </c>
      <c r="B25" s="4">
        <v>0.01</v>
      </c>
      <c r="C25" s="1" t="s">
        <v>35</v>
      </c>
    </row>
    <row r="26" spans="1:7" x14ac:dyDescent="0.3">
      <c r="A26" s="1" t="s">
        <v>45</v>
      </c>
      <c r="B26" s="4">
        <v>300</v>
      </c>
      <c r="C26" s="1" t="s">
        <v>35</v>
      </c>
    </row>
    <row r="27" spans="1:7" x14ac:dyDescent="0.3">
      <c r="A27" s="1" t="s">
        <v>17</v>
      </c>
      <c r="B27" s="4">
        <v>0.42</v>
      </c>
      <c r="C27" s="1" t="s">
        <v>35</v>
      </c>
    </row>
    <row r="28" spans="1:7" x14ac:dyDescent="0.3">
      <c r="A28" s="1" t="s">
        <v>33</v>
      </c>
      <c r="B28" s="4">
        <v>23</v>
      </c>
      <c r="C28" s="1" t="s">
        <v>32</v>
      </c>
    </row>
    <row r="29" spans="1:7" x14ac:dyDescent="0.3">
      <c r="A29" s="1" t="s">
        <v>34</v>
      </c>
      <c r="B29" s="4">
        <v>4.8</v>
      </c>
      <c r="C29" s="1" t="s">
        <v>35</v>
      </c>
    </row>
    <row r="31" spans="1:7" ht="17.649999999999999" x14ac:dyDescent="0.3">
      <c r="A31" s="22" t="s">
        <v>43</v>
      </c>
      <c r="B31" s="23"/>
      <c r="C31" s="24"/>
    </row>
    <row r="32" spans="1:7" x14ac:dyDescent="0.3">
      <c r="A32" s="1" t="s">
        <v>50</v>
      </c>
      <c r="B32" s="4">
        <f>(B19*B11+B20*D11)</f>
        <v>11500</v>
      </c>
      <c r="C32" s="1" t="s">
        <v>31</v>
      </c>
    </row>
    <row r="33" spans="1:3" x14ac:dyDescent="0.3">
      <c r="A33" s="1" t="s">
        <v>51</v>
      </c>
      <c r="B33" s="4">
        <f>C13*B23+E14*(B19*D14/(D14+D15+D16+D17)+B20*D15/(D14+D15+D16+D17)+B21*D16/(D14+D15+D16+D17)+B22*D17/(D14+D15+D16+D17))</f>
        <v>13031.111111111109</v>
      </c>
      <c r="C33" s="1" t="s">
        <v>31</v>
      </c>
    </row>
    <row r="34" spans="1:3" x14ac:dyDescent="0.3">
      <c r="A34" s="1" t="s">
        <v>37</v>
      </c>
      <c r="B34" s="5">
        <f>(B4+D5)*D4*B5*2*0.00092</f>
        <v>11.2056</v>
      </c>
      <c r="C34" s="1" t="s">
        <v>36</v>
      </c>
    </row>
    <row r="35" spans="1:3" x14ac:dyDescent="0.3">
      <c r="A35" s="1" t="s">
        <v>38</v>
      </c>
      <c r="B35" s="5">
        <f>B34*(B6+B4+D15)/(B4+D5)</f>
        <v>11.592000000000001</v>
      </c>
      <c r="C35" s="1" t="s">
        <v>39</v>
      </c>
    </row>
    <row r="36" spans="1:3" x14ac:dyDescent="0.3">
      <c r="A36" s="1" t="s">
        <v>41</v>
      </c>
      <c r="B36" s="5">
        <f>B32*B35/1000000</f>
        <v>0.13330800000000001</v>
      </c>
      <c r="C36" s="5"/>
    </row>
    <row r="37" spans="1:3" x14ac:dyDescent="0.3">
      <c r="A37" s="1" t="s">
        <v>42</v>
      </c>
      <c r="B37" s="5">
        <f>18*B24/D9</f>
        <v>5.0625000000000002E-3</v>
      </c>
      <c r="C37" s="6" t="s">
        <v>44</v>
      </c>
    </row>
    <row r="38" spans="1:3" x14ac:dyDescent="0.3">
      <c r="A38" s="1" t="s">
        <v>46</v>
      </c>
      <c r="B38" s="5">
        <f>300/(100000/D4*1000)</f>
        <v>1.0499999999999999E-3</v>
      </c>
      <c r="C38" s="6" t="s">
        <v>47</v>
      </c>
    </row>
    <row r="39" spans="1:3" x14ac:dyDescent="0.3">
      <c r="A39" s="1" t="s">
        <v>48</v>
      </c>
      <c r="B39" s="5">
        <f>D4/1000*D6</f>
        <v>2.9749999999999996</v>
      </c>
      <c r="C39" s="5"/>
    </row>
    <row r="40" spans="1:3" x14ac:dyDescent="0.3">
      <c r="A40" s="1" t="s">
        <v>49</v>
      </c>
      <c r="B40" s="5">
        <f>B39*B33/1000000</f>
        <v>3.8767555555555548E-2</v>
      </c>
      <c r="C40" s="5"/>
    </row>
    <row r="41" spans="1:3" x14ac:dyDescent="0.3">
      <c r="A41" s="1" t="s">
        <v>52</v>
      </c>
      <c r="B41" s="5">
        <f>B25</f>
        <v>0.01</v>
      </c>
      <c r="C41" s="5"/>
    </row>
    <row r="42" spans="1:3" x14ac:dyDescent="0.3">
      <c r="A42" s="1" t="s">
        <v>54</v>
      </c>
      <c r="B42" s="5">
        <f>0.7*B28/1000/B8</f>
        <v>2.0124999999999995E-3</v>
      </c>
      <c r="C42" s="6" t="s">
        <v>55</v>
      </c>
    </row>
    <row r="43" spans="1:3" x14ac:dyDescent="0.3">
      <c r="A43" s="1" t="s">
        <v>66</v>
      </c>
      <c r="B43" s="5">
        <f>B36+B37+B38+B40+B41+B42</f>
        <v>0.19020055555555557</v>
      </c>
      <c r="C43" s="6"/>
    </row>
    <row r="44" spans="1:3" x14ac:dyDescent="0.3">
      <c r="A44" s="1" t="s">
        <v>56</v>
      </c>
      <c r="B44" s="5">
        <f>B27/B8</f>
        <v>5.2499999999999998E-2</v>
      </c>
      <c r="C44" s="5"/>
    </row>
    <row r="45" spans="1:3" x14ac:dyDescent="0.3">
      <c r="A45" s="1" t="s">
        <v>57</v>
      </c>
      <c r="B45" s="5">
        <f>B29/B8/D8</f>
        <v>7.4999999999999997E-3</v>
      </c>
      <c r="C45" s="5"/>
    </row>
    <row r="46" spans="1:3" x14ac:dyDescent="0.3">
      <c r="A46" s="1" t="s">
        <v>58</v>
      </c>
      <c r="B46" s="5">
        <f>B36+B37+B38+B40+B41+B42+B44+B45</f>
        <v>0.25020055555555554</v>
      </c>
      <c r="C46" s="5"/>
    </row>
  </sheetData>
  <mergeCells count="10">
    <mergeCell ref="A3:D3"/>
    <mergeCell ref="A1:D2"/>
    <mergeCell ref="A10:D10"/>
    <mergeCell ref="A18:C18"/>
    <mergeCell ref="A13:B13"/>
    <mergeCell ref="E14:E17"/>
    <mergeCell ref="C13:E13"/>
    <mergeCell ref="A14:B17"/>
    <mergeCell ref="A12:D12"/>
    <mergeCell ref="A31:C31"/>
  </mergeCells>
  <phoneticPr fontId="3" type="noConversion"/>
  <dataValidations count="4">
    <dataValidation type="custom" allowBlank="1" showInputMessage="1" showErrorMessage="1" sqref="C7" xr:uid="{887B3663-00F7-49C6-8871-B0D2FEABA517}">
      <formula1>D7</formula1>
    </dataValidation>
    <dataValidation type="list" allowBlank="1" showInputMessage="1" showErrorMessage="1" sqref="D7" xr:uid="{C6B73B15-33BA-4AE2-A95B-867729F7CD2D}">
      <formula1>"瓷白,玫红,蓝,灰,绿"</formula1>
    </dataValidation>
    <dataValidation type="list" allowBlank="1" showInputMessage="1" showErrorMessage="1" sqref="B7" xr:uid="{2B12D29F-680E-45F2-84D4-1D829472D37F}">
      <formula1>"盒装,袋装"</formula1>
    </dataValidation>
    <dataValidation type="list" allowBlank="1" showInputMessage="1" showErrorMessage="1" sqref="B9" xr:uid="{A1C5E5B1-74B6-4A81-AE1C-505CD4DF07F8}">
      <formula1>"否,一色,二色"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74A5-6B6C-4A7C-BF21-93B8BF9A1979}">
  <dimension ref="A2:I3"/>
  <sheetViews>
    <sheetView workbookViewId="0">
      <selection activeCell="F13" sqref="F13"/>
    </sheetView>
  </sheetViews>
  <sheetFormatPr defaultRowHeight="13.5" x14ac:dyDescent="0.3"/>
  <sheetData>
    <row r="2" spans="1:9" x14ac:dyDescent="0.3">
      <c r="B2" s="14" t="s">
        <v>60</v>
      </c>
      <c r="C2" s="14" t="s">
        <v>61</v>
      </c>
      <c r="D2" s="14" t="s">
        <v>53</v>
      </c>
      <c r="E2" s="14" t="s">
        <v>28</v>
      </c>
      <c r="F2" s="14" t="s">
        <v>64</v>
      </c>
      <c r="G2" s="14" t="s">
        <v>62</v>
      </c>
      <c r="H2" s="14" t="s">
        <v>63</v>
      </c>
      <c r="I2" s="14" t="s">
        <v>65</v>
      </c>
    </row>
    <row r="3" spans="1:9" x14ac:dyDescent="0.3">
      <c r="A3" s="14" t="s">
        <v>59</v>
      </c>
      <c r="B3">
        <f>原材料成本计算方法!B36</f>
        <v>0.13330800000000001</v>
      </c>
      <c r="C3">
        <f>原材料成本计算方法!B40</f>
        <v>3.8767555555555548E-2</v>
      </c>
      <c r="D3">
        <f>原材料成本计算方法!B41</f>
        <v>0.01</v>
      </c>
      <c r="E3">
        <f>原材料成本计算方法!B37+原材料成本计算方法!B38</f>
        <v>6.1124999999999999E-3</v>
      </c>
      <c r="F3">
        <f>原材料成本计算方法!B42</f>
        <v>2.0124999999999995E-3</v>
      </c>
      <c r="G3">
        <f>原材料成本计算方法!B44</f>
        <v>5.2499999999999998E-2</v>
      </c>
      <c r="H3">
        <f>原材料成本计算方法!B45</f>
        <v>7.4999999999999997E-3</v>
      </c>
      <c r="I3">
        <f>SUM(B3:H3)</f>
        <v>0.25020055555555554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原材料成本计算方法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晓东 刘</cp:lastModifiedBy>
  <cp:lastPrinted>2026-10-16T05:38:56Z</cp:lastPrinted>
  <dcterms:created xsi:type="dcterms:W3CDTF">2023-05-12T11:15:00Z</dcterms:created>
  <dcterms:modified xsi:type="dcterms:W3CDTF">2026-10-22T05:38:15Z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F7103C4CFC08452C96521ADAFEC4F2F1_12</vt:lpwstr>
  </property>
  <property fmtid="{D5CDD505-2E9C-101B-9397-08002B2CF9AE}" pid="4" name="CalculationRule">
    <vt:i4>0</vt:i4>
  </property>
</Properties>
</file>