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D:\Ai项目\世科报价系统\Zipper bag\"/>
    </mc:Choice>
  </mc:AlternateContent>
  <xr:revisionPtr revIDLastSave="0" documentId="13_ncr:1_{4C09A5E7-9DB6-4210-B11D-F5A6EAA5E47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原材料成本计算方法" sheetId="16" r:id="rId1"/>
    <sheet name="Sheet1" sheetId="1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6" l="1"/>
  <c r="B30" i="16"/>
  <c r="B29" i="16"/>
  <c r="B27" i="16"/>
  <c r="B26" i="16"/>
  <c r="D10" i="16"/>
  <c r="B32" i="16"/>
  <c r="B31" i="16"/>
  <c r="B35" i="16"/>
  <c r="H3" i="17" s="1"/>
  <c r="B34" i="16"/>
  <c r="G3" i="17" s="1"/>
  <c r="B33" i="16"/>
  <c r="F3" i="17" s="1"/>
  <c r="D3" i="17"/>
  <c r="E3" i="17" l="1"/>
  <c r="C3" i="17"/>
  <c r="B3" i="17" l="1"/>
  <c r="I3" i="17" s="1"/>
</calcChain>
</file>

<file path=xl/sharedStrings.xml><?xml version="1.0" encoding="utf-8"?>
<sst xmlns="http://schemas.openxmlformats.org/spreadsheetml/2006/main" count="67" uniqueCount="55">
  <si>
    <t>长（mm)</t>
    <phoneticPr fontId="3" type="noConversion"/>
  </si>
  <si>
    <t>宽（mm)</t>
    <phoneticPr fontId="3" type="noConversion"/>
  </si>
  <si>
    <t>厚度（mm)</t>
    <phoneticPr fontId="3" type="noConversion"/>
  </si>
  <si>
    <t>插底（mm)</t>
    <phoneticPr fontId="3" type="noConversion"/>
  </si>
  <si>
    <t>包装方式</t>
    <phoneticPr fontId="3" type="noConversion"/>
  </si>
  <si>
    <t>盒入数</t>
    <phoneticPr fontId="3" type="noConversion"/>
  </si>
  <si>
    <t>箱入数</t>
    <phoneticPr fontId="3" type="noConversion"/>
  </si>
  <si>
    <t>LDPE</t>
    <phoneticPr fontId="3" type="noConversion"/>
  </si>
  <si>
    <t>LLDPE</t>
    <phoneticPr fontId="3" type="noConversion"/>
  </si>
  <si>
    <t>彩盒</t>
    <phoneticPr fontId="3" type="noConversion"/>
  </si>
  <si>
    <t>需要输入的信息</t>
    <phoneticPr fontId="3" type="noConversion"/>
  </si>
  <si>
    <t>产品信息</t>
    <phoneticPr fontId="3" type="noConversion"/>
  </si>
  <si>
    <t>原料配比/份数（袋本体）</t>
    <phoneticPr fontId="3" type="noConversion"/>
  </si>
  <si>
    <t>色母</t>
    <phoneticPr fontId="3" type="noConversion"/>
  </si>
  <si>
    <t>物料价格</t>
    <phoneticPr fontId="3" type="noConversion"/>
  </si>
  <si>
    <t>印刷</t>
    <phoneticPr fontId="3" type="noConversion"/>
  </si>
  <si>
    <t>一色</t>
  </si>
  <si>
    <t>水墨</t>
    <phoneticPr fontId="3" type="noConversion"/>
  </si>
  <si>
    <t>元/吨</t>
    <phoneticPr fontId="3" type="noConversion"/>
  </si>
  <si>
    <t>元/千克</t>
    <phoneticPr fontId="3" type="noConversion"/>
  </si>
  <si>
    <t>热熔胶</t>
    <phoneticPr fontId="3" type="noConversion"/>
  </si>
  <si>
    <t>外箱</t>
    <phoneticPr fontId="3" type="noConversion"/>
  </si>
  <si>
    <t>元/个</t>
    <phoneticPr fontId="3" type="noConversion"/>
  </si>
  <si>
    <t>可印只/桶</t>
    <phoneticPr fontId="3" type="noConversion"/>
  </si>
  <si>
    <t>水墨成本</t>
    <phoneticPr fontId="3" type="noConversion"/>
  </si>
  <si>
    <t>成本计算（每个袋子）</t>
    <phoneticPr fontId="3" type="noConversion"/>
  </si>
  <si>
    <t>没桶18kg</t>
    <phoneticPr fontId="3" type="noConversion"/>
  </si>
  <si>
    <t>印刷版</t>
    <phoneticPr fontId="3" type="noConversion"/>
  </si>
  <si>
    <t>印刷版成本</t>
    <phoneticPr fontId="3" type="noConversion"/>
  </si>
  <si>
    <t>每个版能印10万米</t>
    <phoneticPr fontId="3" type="noConversion"/>
  </si>
  <si>
    <t>袋本体混合原料成本</t>
    <phoneticPr fontId="3" type="noConversion"/>
  </si>
  <si>
    <t>拉链头</t>
    <phoneticPr fontId="3" type="noConversion"/>
  </si>
  <si>
    <t>每个袋子摊热熔胶成本</t>
    <phoneticPr fontId="3" type="noConversion"/>
  </si>
  <si>
    <t>热熔胶每盒用量0.7g</t>
    <phoneticPr fontId="3" type="noConversion"/>
  </si>
  <si>
    <t>每个袋子摊彩盒成本</t>
    <phoneticPr fontId="3" type="noConversion"/>
  </si>
  <si>
    <t>每个袋子摊纸箱成本</t>
    <phoneticPr fontId="3" type="noConversion"/>
  </si>
  <si>
    <t>合计成本</t>
    <phoneticPr fontId="3" type="noConversion"/>
  </si>
  <si>
    <t>L22</t>
    <phoneticPr fontId="3" type="noConversion"/>
  </si>
  <si>
    <t>袋本体</t>
    <phoneticPr fontId="3" type="noConversion"/>
  </si>
  <si>
    <t>拉链</t>
    <phoneticPr fontId="3" type="noConversion"/>
  </si>
  <si>
    <t>盒</t>
    <phoneticPr fontId="3" type="noConversion"/>
  </si>
  <si>
    <t>箱</t>
    <phoneticPr fontId="3" type="noConversion"/>
  </si>
  <si>
    <t>打胶</t>
    <phoneticPr fontId="3" type="noConversion"/>
  </si>
  <si>
    <t>合计</t>
    <phoneticPr fontId="3" type="noConversion"/>
  </si>
  <si>
    <t>筋条</t>
    <phoneticPr fontId="3" type="noConversion"/>
  </si>
  <si>
    <t>双筋</t>
  </si>
  <si>
    <t>盒装</t>
    <phoneticPr fontId="3" type="noConversion"/>
  </si>
  <si>
    <t>原料配比/份数（夹链）</t>
    <phoneticPr fontId="3" type="noConversion"/>
  </si>
  <si>
    <t>说明</t>
    <phoneticPr fontId="3" type="noConversion"/>
  </si>
  <si>
    <t>夹链混合原料成本</t>
    <phoneticPr fontId="3" type="noConversion"/>
  </si>
  <si>
    <t>袋子重量</t>
    <phoneticPr fontId="3" type="noConversion"/>
  </si>
  <si>
    <t>注意：袋子重量不是外界输入，而是需要系统根据前边输入的产品规格计算出来</t>
    <phoneticPr fontId="3" type="noConversion"/>
  </si>
  <si>
    <t>该值由用户输入，
默认值10%</t>
    <phoneticPr fontId="3" type="noConversion"/>
  </si>
  <si>
    <t>袋本体原料成本（不含夹链）</t>
    <phoneticPr fontId="3" type="noConversion"/>
  </si>
  <si>
    <t>夹链原料成本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</si>
</sst>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9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83AD-8CB7-4F0C-A681-D6779EC3025D}">
  <dimension ref="A1:G36"/>
  <sheetViews>
    <sheetView tabSelected="1" topLeftCell="A11" workbookViewId="0">
      <selection activeCell="B37" sqref="B37"/>
    </sheetView>
  </sheetViews>
  <sheetFormatPr defaultRowHeight="13.5" x14ac:dyDescent="0.3"/>
  <cols>
    <col min="1" max="1" width="26.19921875" customWidth="1"/>
    <col min="2" max="2" width="14.265625" customWidth="1"/>
    <col min="3" max="3" width="38.1328125" customWidth="1"/>
    <col min="4" max="4" width="18.6640625" customWidth="1"/>
    <col min="5" max="5" width="19.1328125" customWidth="1"/>
    <col min="6" max="6" width="15.1328125" customWidth="1"/>
    <col min="7" max="7" width="20.265625" customWidth="1"/>
  </cols>
  <sheetData>
    <row r="1" spans="1:7" x14ac:dyDescent="0.3">
      <c r="A1" s="17" t="s">
        <v>10</v>
      </c>
      <c r="B1" s="17"/>
      <c r="C1" s="17"/>
      <c r="D1" s="17"/>
    </row>
    <row r="2" spans="1:7" x14ac:dyDescent="0.3">
      <c r="A2" s="17"/>
      <c r="B2" s="17"/>
      <c r="C2" s="17"/>
      <c r="D2" s="17"/>
    </row>
    <row r="3" spans="1:7" ht="25.15" customHeight="1" x14ac:dyDescent="0.3">
      <c r="A3" s="16" t="s">
        <v>11</v>
      </c>
      <c r="B3" s="16"/>
      <c r="C3" s="16"/>
      <c r="D3" s="16"/>
    </row>
    <row r="4" spans="1:7" ht="13.5" customHeight="1" x14ac:dyDescent="0.3">
      <c r="A4" s="3" t="s">
        <v>0</v>
      </c>
      <c r="B4" s="3">
        <v>280</v>
      </c>
      <c r="C4" s="3" t="s">
        <v>1</v>
      </c>
      <c r="D4" s="3">
        <v>270</v>
      </c>
      <c r="E4" s="2"/>
      <c r="F4" s="2"/>
      <c r="G4" s="2"/>
    </row>
    <row r="5" spans="1:7" ht="13.5" customHeight="1" x14ac:dyDescent="0.3">
      <c r="A5" s="3" t="s">
        <v>2</v>
      </c>
      <c r="B5" s="3">
        <v>0.06</v>
      </c>
      <c r="C5" s="3" t="s">
        <v>3</v>
      </c>
      <c r="D5" s="3">
        <v>0</v>
      </c>
      <c r="E5" s="2"/>
      <c r="F5" s="2"/>
      <c r="G5" s="2"/>
    </row>
    <row r="6" spans="1:7" x14ac:dyDescent="0.3">
      <c r="A6" s="1" t="s">
        <v>44</v>
      </c>
      <c r="B6" s="1" t="s">
        <v>45</v>
      </c>
      <c r="C6" s="1" t="s">
        <v>4</v>
      </c>
      <c r="D6" s="1" t="s">
        <v>46</v>
      </c>
    </row>
    <row r="7" spans="1:7" x14ac:dyDescent="0.3">
      <c r="A7" s="3" t="s">
        <v>5</v>
      </c>
      <c r="B7" s="4">
        <v>30</v>
      </c>
      <c r="C7" s="1" t="s">
        <v>6</v>
      </c>
      <c r="D7" s="4">
        <v>24</v>
      </c>
    </row>
    <row r="8" spans="1:7" x14ac:dyDescent="0.3">
      <c r="A8" s="3" t="s">
        <v>15</v>
      </c>
      <c r="B8" s="4" t="s">
        <v>16</v>
      </c>
      <c r="C8" s="7" t="s">
        <v>23</v>
      </c>
      <c r="D8" s="8">
        <v>250000</v>
      </c>
    </row>
    <row r="9" spans="1:7" ht="20.65" customHeight="1" x14ac:dyDescent="0.3">
      <c r="A9" s="18" t="s">
        <v>12</v>
      </c>
      <c r="B9" s="19"/>
      <c r="C9" s="19"/>
      <c r="D9" s="20"/>
      <c r="E9" s="11" t="s">
        <v>48</v>
      </c>
    </row>
    <row r="10" spans="1:7" ht="17.649999999999999" customHeight="1" x14ac:dyDescent="0.3">
      <c r="A10" s="15" t="s">
        <v>7</v>
      </c>
      <c r="B10" s="15"/>
      <c r="C10" s="13">
        <v>0.7</v>
      </c>
      <c r="D10" s="28">
        <f>1-D13</f>
        <v>0.9</v>
      </c>
      <c r="E10" s="32"/>
    </row>
    <row r="11" spans="1:7" ht="17.649999999999999" customHeight="1" x14ac:dyDescent="0.3">
      <c r="A11" s="27" t="s">
        <v>8</v>
      </c>
      <c r="B11" s="27"/>
      <c r="C11" s="13">
        <v>0.3</v>
      </c>
      <c r="D11" s="28"/>
      <c r="E11" s="33"/>
    </row>
    <row r="12" spans="1:7" ht="21.4" customHeight="1" x14ac:dyDescent="0.3">
      <c r="A12" s="23" t="s">
        <v>47</v>
      </c>
      <c r="B12" s="23"/>
      <c r="C12" s="23"/>
      <c r="D12" s="23"/>
      <c r="E12" s="30"/>
    </row>
    <row r="13" spans="1:7" ht="18.399999999999999" customHeight="1" x14ac:dyDescent="0.3">
      <c r="A13" s="15" t="s">
        <v>13</v>
      </c>
      <c r="B13" s="15"/>
      <c r="C13" s="12">
        <v>0.02</v>
      </c>
      <c r="D13" s="29">
        <v>0.1</v>
      </c>
      <c r="E13" s="32" t="s">
        <v>52</v>
      </c>
    </row>
    <row r="14" spans="1:7" x14ac:dyDescent="0.3">
      <c r="A14" s="15" t="s">
        <v>7</v>
      </c>
      <c r="B14" s="15"/>
      <c r="C14" s="14">
        <v>0.98</v>
      </c>
      <c r="D14" s="15"/>
      <c r="E14" s="31"/>
      <c r="F14" s="9"/>
    </row>
    <row r="15" spans="1:7" ht="22.5" customHeight="1" x14ac:dyDescent="0.3">
      <c r="A15" s="21" t="s">
        <v>14</v>
      </c>
      <c r="B15" s="16"/>
      <c r="C15" s="22"/>
    </row>
    <row r="16" spans="1:7" x14ac:dyDescent="0.3">
      <c r="A16" s="1" t="s">
        <v>7</v>
      </c>
      <c r="B16" s="4">
        <v>13500</v>
      </c>
      <c r="C16" s="1" t="s">
        <v>18</v>
      </c>
    </row>
    <row r="17" spans="1:3" x14ac:dyDescent="0.3">
      <c r="A17" s="1" t="s">
        <v>8</v>
      </c>
      <c r="B17" s="4">
        <v>10500</v>
      </c>
      <c r="C17" s="1" t="s">
        <v>18</v>
      </c>
    </row>
    <row r="18" spans="1:3" x14ac:dyDescent="0.3">
      <c r="A18" s="1" t="s">
        <v>13</v>
      </c>
      <c r="B18" s="4">
        <v>20000</v>
      </c>
      <c r="C18" s="1" t="s">
        <v>18</v>
      </c>
    </row>
    <row r="19" spans="1:3" x14ac:dyDescent="0.3">
      <c r="A19" s="1" t="s">
        <v>17</v>
      </c>
      <c r="B19" s="4">
        <v>45</v>
      </c>
      <c r="C19" s="1" t="s">
        <v>19</v>
      </c>
    </row>
    <row r="20" spans="1:3" x14ac:dyDescent="0.3">
      <c r="A20" s="1" t="s">
        <v>27</v>
      </c>
      <c r="B20" s="4">
        <v>300</v>
      </c>
      <c r="C20" s="1" t="s">
        <v>22</v>
      </c>
    </row>
    <row r="21" spans="1:3" x14ac:dyDescent="0.3">
      <c r="A21" s="1" t="s">
        <v>9</v>
      </c>
      <c r="B21" s="4">
        <v>0.41</v>
      </c>
      <c r="C21" s="1" t="s">
        <v>22</v>
      </c>
    </row>
    <row r="22" spans="1:3" x14ac:dyDescent="0.3">
      <c r="A22" s="1" t="s">
        <v>20</v>
      </c>
      <c r="B22" s="4">
        <v>23</v>
      </c>
      <c r="C22" s="1" t="s">
        <v>19</v>
      </c>
    </row>
    <row r="23" spans="1:3" x14ac:dyDescent="0.3">
      <c r="A23" s="1" t="s">
        <v>21</v>
      </c>
      <c r="B23" s="4">
        <v>3.1</v>
      </c>
      <c r="C23" s="1" t="s">
        <v>22</v>
      </c>
    </row>
    <row r="25" spans="1:3" ht="17.649999999999999" x14ac:dyDescent="0.3">
      <c r="A25" s="24" t="s">
        <v>25</v>
      </c>
      <c r="B25" s="25"/>
      <c r="C25" s="26"/>
    </row>
    <row r="26" spans="1:3" x14ac:dyDescent="0.3">
      <c r="A26" s="1" t="s">
        <v>30</v>
      </c>
      <c r="B26" s="4">
        <f>(B16*C10+B17*C11)</f>
        <v>12600</v>
      </c>
      <c r="C26" s="1" t="s">
        <v>18</v>
      </c>
    </row>
    <row r="27" spans="1:3" x14ac:dyDescent="0.3">
      <c r="A27" s="1" t="s">
        <v>49</v>
      </c>
      <c r="B27" s="4">
        <f>B16*C14+B18*C13</f>
        <v>13630</v>
      </c>
      <c r="C27" s="1" t="s">
        <v>18</v>
      </c>
    </row>
    <row r="28" spans="1:3" ht="27" x14ac:dyDescent="0.3">
      <c r="A28" s="1" t="s">
        <v>50</v>
      </c>
      <c r="B28" s="4">
        <v>11.5</v>
      </c>
      <c r="C28" s="10" t="s">
        <v>51</v>
      </c>
    </row>
    <row r="29" spans="1:3" ht="21.4" customHeight="1" x14ac:dyDescent="0.3">
      <c r="A29" s="1" t="s">
        <v>53</v>
      </c>
      <c r="B29" s="5">
        <f>B28*D10*B26/1000000</f>
        <v>0.13041</v>
      </c>
      <c r="C29" s="5"/>
    </row>
    <row r="30" spans="1:3" ht="21.4" customHeight="1" x14ac:dyDescent="0.3">
      <c r="A30" s="1" t="s">
        <v>54</v>
      </c>
      <c r="B30" s="5">
        <f>B28*D13*B27/1000000</f>
        <v>1.5674500000000001E-2</v>
      </c>
      <c r="C30" s="5"/>
    </row>
    <row r="31" spans="1:3" x14ac:dyDescent="0.3">
      <c r="A31" s="1" t="s">
        <v>24</v>
      </c>
      <c r="B31" s="5">
        <f>IF(B8="否",0,IF(B8="一色",18*B19/D8,IF(B8="二色",18*B19/D8*2,"")))</f>
        <v>3.2399999999999998E-3</v>
      </c>
      <c r="C31" s="6" t="s">
        <v>26</v>
      </c>
    </row>
    <row r="32" spans="1:3" x14ac:dyDescent="0.3">
      <c r="A32" s="1" t="s">
        <v>28</v>
      </c>
      <c r="B32" s="5">
        <f>IF(B8="否",0,IF(B8="一色",300/(100000/D4*1000),IF(B8="二色",300/(100000/D4*1000)*2,"")))</f>
        <v>8.0999999999999996E-4</v>
      </c>
      <c r="C32" s="6" t="s">
        <v>29</v>
      </c>
    </row>
    <row r="33" spans="1:3" x14ac:dyDescent="0.3">
      <c r="A33" s="1" t="s">
        <v>32</v>
      </c>
      <c r="B33" s="5">
        <f>0.7*B22/1000/B7</f>
        <v>5.3666666666666652E-4</v>
      </c>
      <c r="C33" s="6" t="s">
        <v>33</v>
      </c>
    </row>
    <row r="34" spans="1:3" x14ac:dyDescent="0.3">
      <c r="A34" s="1" t="s">
        <v>34</v>
      </c>
      <c r="B34" s="5">
        <f>B21/B7</f>
        <v>1.3666666666666666E-2</v>
      </c>
      <c r="C34" s="5"/>
    </row>
    <row r="35" spans="1:3" x14ac:dyDescent="0.3">
      <c r="A35" s="1" t="s">
        <v>35</v>
      </c>
      <c r="B35" s="5">
        <f>B23/B7/D7</f>
        <v>4.3055555555555555E-3</v>
      </c>
      <c r="C35" s="5"/>
    </row>
    <row r="36" spans="1:3" x14ac:dyDescent="0.3">
      <c r="A36" s="1" t="s">
        <v>36</v>
      </c>
      <c r="B36" s="5">
        <f>SUM(B29:B35)</f>
        <v>0.16864338888888888</v>
      </c>
      <c r="C36" s="5"/>
    </row>
  </sheetData>
  <mergeCells count="14">
    <mergeCell ref="A25:C25"/>
    <mergeCell ref="A11:B11"/>
    <mergeCell ref="D10:D11"/>
    <mergeCell ref="D13:D14"/>
    <mergeCell ref="E13:E14"/>
    <mergeCell ref="E10:E11"/>
    <mergeCell ref="A3:D3"/>
    <mergeCell ref="A1:D2"/>
    <mergeCell ref="A9:D9"/>
    <mergeCell ref="A15:C15"/>
    <mergeCell ref="A13:B13"/>
    <mergeCell ref="A10:B10"/>
    <mergeCell ref="A14:B14"/>
    <mergeCell ref="A12:D12"/>
  </mergeCells>
  <phoneticPr fontId="3" type="noConversion"/>
  <dataValidations count="4">
    <dataValidation type="list" allowBlank="1" showInputMessage="1" showErrorMessage="1" sqref="D6" xr:uid="{2B12D29F-680E-45F2-84D4-1D829472D37F}">
      <formula1>"盒装,袋装"</formula1>
    </dataValidation>
    <dataValidation type="list" allowBlank="1" showInputMessage="1" showErrorMessage="1" sqref="B8" xr:uid="{A1C5E5B1-74B6-4A81-AE1C-505CD4DF07F8}">
      <formula1>"否,一色,二色"</formula1>
    </dataValidation>
    <dataValidation type="list" allowBlank="1" showInputMessage="1" showErrorMessage="1" sqref="B6" xr:uid="{44C7D19B-7799-4B05-AC44-181D2FA077CC}">
      <formula1>"单筋,双筋"</formula1>
    </dataValidation>
    <dataValidation type="custom" allowBlank="1" showInputMessage="1" showErrorMessage="1" sqref="A6 C6" xr:uid="{887B3663-00F7-49C6-8871-B0D2FEABA517}">
      <formula1>B6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74A5-6B6C-4A7C-BF21-93B8BF9A1979}">
  <dimension ref="A2:I3"/>
  <sheetViews>
    <sheetView workbookViewId="0">
      <selection activeCell="F13" sqref="F13"/>
    </sheetView>
  </sheetViews>
  <sheetFormatPr defaultRowHeight="13.5" x14ac:dyDescent="0.3"/>
  <sheetData>
    <row r="2" spans="1:9" x14ac:dyDescent="0.3">
      <c r="B2" s="11" t="s">
        <v>38</v>
      </c>
      <c r="C2" s="11" t="s">
        <v>39</v>
      </c>
      <c r="D2" s="11" t="s">
        <v>31</v>
      </c>
      <c r="E2" s="11" t="s">
        <v>15</v>
      </c>
      <c r="F2" s="11" t="s">
        <v>42</v>
      </c>
      <c r="G2" s="11" t="s">
        <v>40</v>
      </c>
      <c r="H2" s="11" t="s">
        <v>41</v>
      </c>
      <c r="I2" s="11" t="s">
        <v>43</v>
      </c>
    </row>
    <row r="3" spans="1:9" x14ac:dyDescent="0.3">
      <c r="A3" s="11" t="s">
        <v>37</v>
      </c>
      <c r="B3">
        <f>原材料成本计算方法!B29</f>
        <v>0.13041</v>
      </c>
      <c r="C3" t="e">
        <f>原材料成本计算方法!#REF!</f>
        <v>#REF!</v>
      </c>
      <c r="D3" t="e">
        <f>原材料成本计算方法!#REF!</f>
        <v>#REF!</v>
      </c>
      <c r="E3">
        <f>原材料成本计算方法!B31+原材料成本计算方法!B32</f>
        <v>4.0499999999999998E-3</v>
      </c>
      <c r="F3">
        <f>原材料成本计算方法!B33</f>
        <v>5.3666666666666652E-4</v>
      </c>
      <c r="G3">
        <f>原材料成本计算方法!B34</f>
        <v>1.3666666666666666E-2</v>
      </c>
      <c r="H3">
        <f>原材料成本计算方法!B35</f>
        <v>4.3055555555555555E-3</v>
      </c>
      <c r="I3" t="e">
        <f>SUM(B3:H3)</f>
        <v>#REF!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原材料成本计算方法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晓东 刘</cp:lastModifiedBy>
  <cp:lastPrinted>2026-10-16T05:38:56Z</cp:lastPrinted>
  <dcterms:created xsi:type="dcterms:W3CDTF">2023-05-12T11:15:00Z</dcterms:created>
  <dcterms:modified xsi:type="dcterms:W3CDTF">2026-10-29T09:03:29Z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F7103C4CFC08452C96521ADAFEC4F2F1_12</vt:lpwstr>
  </property>
  <property fmtid="{D5CDD505-2E9C-101B-9397-08002B2CF9AE}" pid="4" name="CalculationRule">
    <vt:i4>0</vt:i4>
  </property>
</Properties>
</file>