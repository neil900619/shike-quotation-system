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lxd61\Desktop\AI报价\1011\样本2\"/>
    </mc:Choice>
  </mc:AlternateContent>
  <xr:revisionPtr revIDLastSave="0" documentId="13_ncr:1_{748F886B-483F-47F6-B941-1C3F4610D344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双筋条" sheetId="1" r:id="rId1"/>
    <sheet name="单筋条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R4" i="1"/>
  <c r="S4" i="1"/>
  <c r="P5" i="1"/>
  <c r="Q5" i="1"/>
  <c r="R5" i="1"/>
  <c r="S5" i="1"/>
  <c r="X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X10" i="1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Q29" i="3"/>
  <c r="P29" i="3"/>
  <c r="S28" i="3"/>
  <c r="R28" i="3"/>
  <c r="Q28" i="3"/>
  <c r="P28" i="3"/>
  <c r="S27" i="3"/>
  <c r="R27" i="3"/>
  <c r="Q27" i="3"/>
  <c r="P27" i="3"/>
  <c r="S26" i="3"/>
  <c r="R26" i="3"/>
  <c r="Q26" i="3"/>
  <c r="P26" i="3"/>
  <c r="S25" i="3"/>
  <c r="R25" i="3"/>
  <c r="Q25" i="3"/>
  <c r="P25" i="3"/>
  <c r="S24" i="3"/>
  <c r="R24" i="3"/>
  <c r="Q24" i="3"/>
  <c r="P24" i="3"/>
  <c r="S23" i="3"/>
  <c r="R23" i="3"/>
  <c r="Q23" i="3"/>
  <c r="P23" i="3"/>
  <c r="S22" i="3"/>
  <c r="R22" i="3"/>
  <c r="Q22" i="3"/>
  <c r="P22" i="3"/>
  <c r="S21" i="3"/>
  <c r="R21" i="3"/>
  <c r="Q21" i="3"/>
  <c r="P21" i="3"/>
  <c r="S20" i="3"/>
  <c r="R20" i="3"/>
  <c r="Q20" i="3"/>
  <c r="P20" i="3"/>
  <c r="S19" i="3"/>
  <c r="R19" i="3"/>
  <c r="Q19" i="3"/>
  <c r="P19" i="3"/>
  <c r="S18" i="3"/>
  <c r="R18" i="3"/>
  <c r="Q18" i="3"/>
  <c r="P18" i="3"/>
  <c r="S17" i="3"/>
  <c r="R17" i="3"/>
  <c r="Q17" i="3"/>
  <c r="P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Y7" i="3"/>
  <c r="X7" i="3"/>
  <c r="S7" i="3"/>
  <c r="R7" i="3"/>
  <c r="S6" i="3"/>
  <c r="R6" i="3"/>
  <c r="O6" i="3"/>
  <c r="U6" i="3" s="1"/>
  <c r="W6" i="3" s="1"/>
  <c r="S5" i="3"/>
  <c r="R5" i="3"/>
  <c r="O5" i="3"/>
  <c r="U5" i="3" s="1"/>
  <c r="W5" i="3" s="1"/>
  <c r="S4" i="3"/>
  <c r="R4" i="3"/>
  <c r="O4" i="3"/>
  <c r="U4" i="3" s="1"/>
  <c r="W4" i="3" s="1"/>
  <c r="O7" i="1" l="1"/>
  <c r="O6" i="1"/>
  <c r="U7" i="1"/>
  <c r="W7" i="1" s="1"/>
  <c r="U6" i="1"/>
  <c r="W6" i="1" s="1"/>
  <c r="O4" i="1"/>
  <c r="U4" i="1" s="1"/>
  <c r="W4" i="1" s="1"/>
  <c r="O5" i="1"/>
  <c r="U5" i="1" s="1"/>
  <c r="W5" i="1" s="1"/>
  <c r="O8" i="1"/>
  <c r="U8" i="1" s="1"/>
  <c r="W8" i="1" s="1"/>
  <c r="O9" i="1"/>
  <c r="U9" i="1" s="1"/>
  <c r="W9" i="1" s="1"/>
  <c r="O10" i="1"/>
  <c r="U10" i="1" s="1"/>
  <c r="W10" i="1" s="1"/>
  <c r="O42" i="3"/>
  <c r="U42" i="3" s="1"/>
  <c r="W42" i="3" s="1"/>
  <c r="O41" i="3"/>
  <c r="U41" i="3" s="1"/>
  <c r="W41" i="3" s="1"/>
  <c r="O40" i="3"/>
  <c r="U40" i="3" s="1"/>
  <c r="W40" i="3" s="1"/>
  <c r="O39" i="3"/>
  <c r="U39" i="3" s="1"/>
  <c r="W39" i="3" s="1"/>
  <c r="O38" i="3"/>
  <c r="U38" i="3" s="1"/>
  <c r="W38" i="3" s="1"/>
  <c r="O37" i="3"/>
  <c r="U37" i="3" s="1"/>
  <c r="W37" i="3" s="1"/>
  <c r="O36" i="3"/>
  <c r="U36" i="3" s="1"/>
  <c r="W36" i="3" s="1"/>
  <c r="O35" i="3"/>
  <c r="U35" i="3" s="1"/>
  <c r="W35" i="3" s="1"/>
  <c r="O34" i="3"/>
  <c r="U34" i="3" s="1"/>
  <c r="W34" i="3" s="1"/>
  <c r="O17" i="3"/>
  <c r="U17" i="3" s="1"/>
  <c r="W17" i="3" s="1"/>
  <c r="O7" i="3"/>
  <c r="U7" i="3" s="1"/>
  <c r="W7" i="3" s="1"/>
  <c r="O33" i="3"/>
  <c r="U33" i="3" s="1"/>
  <c r="W33" i="3" s="1"/>
  <c r="O32" i="3"/>
  <c r="U32" i="3" s="1"/>
  <c r="W32" i="3" s="1"/>
  <c r="O31" i="3"/>
  <c r="U31" i="3" s="1"/>
  <c r="W31" i="3" s="1"/>
  <c r="O30" i="3"/>
  <c r="U30" i="3" s="1"/>
  <c r="W30" i="3" s="1"/>
  <c r="O29" i="3"/>
  <c r="U29" i="3" s="1"/>
  <c r="W29" i="3" s="1"/>
  <c r="O28" i="3"/>
  <c r="U28" i="3" s="1"/>
  <c r="W28" i="3" s="1"/>
  <c r="O27" i="3"/>
  <c r="U27" i="3" s="1"/>
  <c r="W27" i="3" s="1"/>
  <c r="O26" i="3"/>
  <c r="U26" i="3" s="1"/>
  <c r="W26" i="3" s="1"/>
  <c r="O25" i="3"/>
  <c r="U25" i="3" s="1"/>
  <c r="W25" i="3" s="1"/>
  <c r="O24" i="3"/>
  <c r="U24" i="3" s="1"/>
  <c r="W24" i="3" s="1"/>
  <c r="O23" i="3"/>
  <c r="U23" i="3" s="1"/>
  <c r="W23" i="3" s="1"/>
  <c r="O22" i="3"/>
  <c r="U22" i="3" s="1"/>
  <c r="W22" i="3" s="1"/>
  <c r="O21" i="3"/>
  <c r="U21" i="3" s="1"/>
  <c r="W21" i="3" s="1"/>
  <c r="O20" i="3"/>
  <c r="U20" i="3" s="1"/>
  <c r="W20" i="3" s="1"/>
  <c r="O19" i="3"/>
  <c r="U19" i="3" s="1"/>
  <c r="W19" i="3" s="1"/>
  <c r="O18" i="3"/>
  <c r="U18" i="3" s="1"/>
  <c r="W18" i="3" s="1"/>
  <c r="O16" i="3"/>
  <c r="U16" i="3" s="1"/>
  <c r="W16" i="3" s="1"/>
  <c r="O15" i="3"/>
  <c r="U15" i="3" s="1"/>
  <c r="W15" i="3" s="1"/>
  <c r="O14" i="3"/>
  <c r="U14" i="3" s="1"/>
  <c r="W14" i="3" s="1"/>
  <c r="O13" i="3"/>
  <c r="U13" i="3" s="1"/>
  <c r="W13" i="3" s="1"/>
  <c r="O12" i="3"/>
  <c r="U12" i="3" s="1"/>
  <c r="W12" i="3" s="1"/>
  <c r="O11" i="3"/>
  <c r="U11" i="3" s="1"/>
  <c r="W11" i="3" s="1"/>
  <c r="O10" i="3"/>
  <c r="U10" i="3" s="1"/>
  <c r="W10" i="3" s="1"/>
  <c r="O9" i="3"/>
  <c r="U9" i="3" s="1"/>
  <c r="W9" i="3" s="1"/>
  <c r="O8" i="3"/>
  <c r="U8" i="3" s="1"/>
  <c r="W8" i="3" s="1"/>
</calcChain>
</file>

<file path=xl/sharedStrings.xml><?xml version="1.0" encoding="utf-8"?>
<sst xmlns="http://schemas.openxmlformats.org/spreadsheetml/2006/main" count="276" uniqueCount="77">
  <si>
    <t>No.</t>
  </si>
  <si>
    <t>品名</t>
  </si>
  <si>
    <t>印刷</t>
  </si>
  <si>
    <t>マチ
插底</t>
  </si>
  <si>
    <t>枚/盒</t>
  </si>
  <si>
    <t>盒/外箱</t>
  </si>
  <si>
    <t>原料成本</t>
    <phoneticPr fontId="8"/>
  </si>
  <si>
    <t>印刷</t>
    <phoneticPr fontId="8"/>
  </si>
  <si>
    <t>版费</t>
    <phoneticPr fontId="8"/>
  </si>
  <si>
    <t>纸盒</t>
    <phoneticPr fontId="3" type="noConversion"/>
  </si>
  <si>
    <t>纸箱</t>
    <phoneticPr fontId="3" type="noConversion"/>
  </si>
  <si>
    <t>每盒售价</t>
    <phoneticPr fontId="3" type="noConversion"/>
  </si>
  <si>
    <t>成本/售价</t>
    <phoneticPr fontId="3" type="noConversion"/>
  </si>
  <si>
    <t>ジッパーバッグ</t>
  </si>
  <si>
    <t>270</t>
  </si>
  <si>
    <t>280</t>
  </si>
  <si>
    <t>0.065</t>
  </si>
  <si>
    <t>15</t>
  </si>
  <si>
    <t>50</t>
  </si>
  <si>
    <t>180</t>
  </si>
  <si>
    <t>210</t>
  </si>
  <si>
    <t>25</t>
  </si>
  <si>
    <t>80</t>
  </si>
  <si>
    <t>筋条数量</t>
    <phoneticPr fontId="3" type="noConversion"/>
  </si>
  <si>
    <r>
      <t>1色</t>
    </r>
    <r>
      <rPr>
        <sz val="9"/>
        <color theme="1"/>
        <rFont val="等线"/>
        <family val="3"/>
        <charset val="134"/>
        <scheme val="minor"/>
      </rPr>
      <t xml:space="preserve">
</t>
    </r>
    <phoneticPr fontId="3" type="noConversion"/>
  </si>
  <si>
    <t>170</t>
  </si>
  <si>
    <t>200</t>
  </si>
  <si>
    <t>160</t>
  </si>
  <si>
    <t>1色</t>
    <phoneticPr fontId="3" type="noConversion"/>
  </si>
  <si>
    <t>フリーザーバッグS</t>
  </si>
  <si>
    <t>フリーザーバッグM</t>
  </si>
  <si>
    <t>フリーザーバッグL</t>
  </si>
  <si>
    <t>20</t>
  </si>
  <si>
    <t>10</t>
  </si>
  <si>
    <t>30</t>
    <phoneticPr fontId="3" type="noConversion"/>
  </si>
  <si>
    <t>無</t>
    <phoneticPr fontId="3" type="noConversion"/>
  </si>
  <si>
    <t xml:space="preserve">製品規格 </t>
    <phoneticPr fontId="3" type="noConversion"/>
  </si>
  <si>
    <t>宽mm</t>
    <phoneticPr fontId="3" type="noConversion"/>
  </si>
  <si>
    <t>长mm
（筋条下）</t>
    <phoneticPr fontId="3" type="noConversion"/>
  </si>
  <si>
    <t>筋条以上mm</t>
    <phoneticPr fontId="3" type="noConversion"/>
  </si>
  <si>
    <t>厚みmm</t>
    <phoneticPr fontId="3" type="noConversion"/>
  </si>
  <si>
    <t>重量g/pcs</t>
    <phoneticPr fontId="8"/>
  </si>
  <si>
    <t>分摊到每个袋子的用料成本</t>
    <phoneticPr fontId="3" type="noConversion"/>
  </si>
  <si>
    <t>B9</t>
  </si>
  <si>
    <t>A8</t>
  </si>
  <si>
    <t>B8</t>
  </si>
  <si>
    <t>A7</t>
  </si>
  <si>
    <t>B7</t>
  </si>
  <si>
    <t>A6</t>
  </si>
  <si>
    <t>B6</t>
  </si>
  <si>
    <t>A5</t>
  </si>
  <si>
    <t>B5</t>
  </si>
  <si>
    <t>A4</t>
  </si>
  <si>
    <t>B4</t>
  </si>
  <si>
    <t>A3</t>
  </si>
  <si>
    <t>B3</t>
  </si>
  <si>
    <t>NON</t>
    <phoneticPr fontId="3" type="noConversion"/>
  </si>
  <si>
    <t>包装方式</t>
    <phoneticPr fontId="3" type="noConversion"/>
  </si>
  <si>
    <t>盒装</t>
    <phoneticPr fontId="3" type="noConversion"/>
  </si>
  <si>
    <t>袋装</t>
    <phoneticPr fontId="3" type="noConversion"/>
  </si>
  <si>
    <t>包装规格</t>
    <phoneticPr fontId="3" type="noConversion"/>
  </si>
  <si>
    <t>枚/袋</t>
    <phoneticPr fontId="3" type="noConversion"/>
  </si>
  <si>
    <t>袋/外箱</t>
    <phoneticPr fontId="3" type="noConversion"/>
  </si>
  <si>
    <t>LDPE/LLDPE</t>
    <phoneticPr fontId="3" type="noConversion"/>
  </si>
  <si>
    <t>7:3</t>
    <phoneticPr fontId="3" type="noConversion"/>
  </si>
  <si>
    <t>盒包装</t>
    <phoneticPr fontId="3" type="noConversion"/>
  </si>
  <si>
    <t>袋包装</t>
    <phoneticPr fontId="3" type="noConversion"/>
  </si>
  <si>
    <t>原料配比</t>
    <phoneticPr fontId="3" type="noConversion"/>
  </si>
  <si>
    <t>包装袋</t>
    <phoneticPr fontId="3" type="noConversion"/>
  </si>
  <si>
    <t>外箱</t>
    <phoneticPr fontId="3" type="noConversion"/>
  </si>
  <si>
    <t>每盒
成本</t>
    <phoneticPr fontId="3" type="noConversion"/>
  </si>
  <si>
    <t>每袋
成本</t>
    <phoneticPr fontId="3" type="noConversion"/>
  </si>
  <si>
    <t>总成本</t>
    <phoneticPr fontId="3" type="noConversion"/>
  </si>
  <si>
    <t>售价</t>
    <phoneticPr fontId="3" type="noConversion"/>
  </si>
  <si>
    <t>每袋售价</t>
    <phoneticPr fontId="3" type="noConversion"/>
  </si>
  <si>
    <t>汇率</t>
    <phoneticPr fontId="3" type="noConversion"/>
  </si>
  <si>
    <t>6.7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</si>
</sst>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$#,##0.00;\-\$#,##0.00"/>
    <numFmt numFmtId="177" formatCode="\$#,##0.000;\-\$#,##0.000"/>
    <numFmt numFmtId="178" formatCode="0.000%"/>
    <numFmt numFmtId="179" formatCode="&quot;¥&quot;#,##0.00000_);[Red]\(&quot;¥&quot;#,##0.00000\)"/>
  </numFmts>
  <fonts count="19">
    <font>
      <sz val="11"/>
      <color theme="1"/>
      <name val="等线"/>
      <family val="2"/>
      <scheme val="minor"/>
    </font>
    <font>
      <sz val="11"/>
      <color indexed="8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3"/>
      <charset val="128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6"/>
      <name val="等线"/>
      <family val="3"/>
      <charset val="128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28"/>
      <scheme val="minor"/>
    </font>
    <font>
      <b/>
      <sz val="14"/>
      <name val="等线"/>
      <family val="3"/>
      <charset val="134"/>
      <scheme val="minor"/>
    </font>
    <font>
      <b/>
      <sz val="14"/>
      <color indexed="8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66">
    <xf numFmtId="0" fontId="0" fillId="0" borderId="0" xfId="0"/>
    <xf numFmtId="49" fontId="5" fillId="2" borderId="1" xfId="2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49" fontId="0" fillId="2" borderId="1" xfId="2" applyNumberFormat="1" applyFont="1" applyFill="1" applyBorder="1" applyAlignment="1">
      <alignment horizontal="center" vertical="center" wrapText="1"/>
    </xf>
    <xf numFmtId="178" fontId="7" fillId="2" borderId="1" xfId="3" applyNumberFormat="1" applyFont="1" applyFill="1" applyBorder="1" applyAlignment="1">
      <alignment horizontal="center"/>
    </xf>
    <xf numFmtId="0" fontId="2" fillId="2" borderId="0" xfId="1" applyFont="1" applyFill="1">
      <alignment vertical="center"/>
    </xf>
    <xf numFmtId="49" fontId="13" fillId="2" borderId="1" xfId="2" applyNumberFormat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/>
    </xf>
    <xf numFmtId="49" fontId="6" fillId="2" borderId="1" xfId="2" applyNumberFormat="1" applyFont="1" applyFill="1" applyBorder="1" applyAlignment="1">
      <alignment horizontal="center" vertical="center" wrapText="1"/>
    </xf>
    <xf numFmtId="17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49" fontId="7" fillId="2" borderId="1" xfId="3" applyNumberFormat="1" applyFont="1" applyFill="1" applyBorder="1" applyAlignment="1">
      <alignment horizontal="center" vertical="center"/>
    </xf>
    <xf numFmtId="179" fontId="7" fillId="2" borderId="1" xfId="3" applyNumberFormat="1" applyFont="1" applyFill="1" applyBorder="1" applyAlignment="1">
      <alignment horizontal="center" vertical="center"/>
    </xf>
    <xf numFmtId="177" fontId="7" fillId="2" borderId="1" xfId="3" applyNumberFormat="1" applyFont="1" applyFill="1" applyBorder="1" applyAlignment="1">
      <alignment horizontal="center" vertical="center"/>
    </xf>
    <xf numFmtId="49" fontId="15" fillId="2" borderId="1" xfId="2" applyNumberFormat="1" applyFont="1" applyFill="1" applyBorder="1" applyAlignment="1">
      <alignment horizontal="center" vertical="center" wrapText="1"/>
    </xf>
    <xf numFmtId="49" fontId="17" fillId="2" borderId="1" xfId="2" applyNumberFormat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4" fillId="2" borderId="1" xfId="4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17" fillId="2" borderId="1" xfId="1" applyFont="1" applyFill="1" applyBorder="1" applyAlignment="1">
      <alignment horizontal="center" vertical="center"/>
    </xf>
    <xf numFmtId="49" fontId="15" fillId="2" borderId="1" xfId="2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17" fillId="2" borderId="1" xfId="2" applyNumberFormat="1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13" fillId="2" borderId="1" xfId="2" applyNumberFormat="1" applyFont="1" applyFill="1" applyBorder="1" applyAlignment="1">
      <alignment horizontal="center" vertical="center" wrapText="1"/>
    </xf>
    <xf numFmtId="49" fontId="15" fillId="2" borderId="3" xfId="2" applyNumberFormat="1" applyFont="1" applyFill="1" applyBorder="1" applyAlignment="1">
      <alignment horizontal="center" vertical="center" wrapText="1"/>
    </xf>
    <xf numFmtId="49" fontId="15" fillId="2" borderId="4" xfId="2" applyNumberFormat="1" applyFont="1" applyFill="1" applyBorder="1" applyAlignment="1">
      <alignment horizontal="center" vertical="center" wrapText="1"/>
    </xf>
    <xf numFmtId="49" fontId="17" fillId="2" borderId="5" xfId="2" applyNumberFormat="1" applyFont="1" applyFill="1" applyBorder="1" applyAlignment="1">
      <alignment horizontal="center" vertical="center" wrapText="1"/>
    </xf>
    <xf numFmtId="49" fontId="17" fillId="2" borderId="6" xfId="2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2" borderId="5" xfId="2" applyNumberFormat="1" applyFont="1" applyFill="1" applyBorder="1" applyAlignment="1">
      <alignment horizontal="center" vertical="center" wrapText="1"/>
    </xf>
    <xf numFmtId="49" fontId="0" fillId="2" borderId="2" xfId="2" applyNumberFormat="1" applyFont="1" applyFill="1" applyBorder="1" applyAlignment="1">
      <alignment horizontal="center" vertical="center" wrapText="1"/>
    </xf>
    <xf numFmtId="49" fontId="0" fillId="2" borderId="6" xfId="2" applyNumberFormat="1" applyFont="1" applyFill="1" applyBorder="1" applyAlignment="1">
      <alignment horizontal="center" vertical="center" wrapText="1"/>
    </xf>
    <xf numFmtId="49" fontId="5" fillId="2" borderId="5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/>
    </xf>
    <xf numFmtId="0" fontId="15" fillId="2" borderId="6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0" fillId="2" borderId="5" xfId="2" applyFont="1" applyFill="1" applyBorder="1" applyAlignment="1">
      <alignment horizontal="center" vertical="center" wrapText="1"/>
    </xf>
    <xf numFmtId="0" fontId="0" fillId="2" borderId="2" xfId="2" applyFont="1" applyFill="1" applyBorder="1" applyAlignment="1">
      <alignment horizontal="center" vertical="center" wrapText="1"/>
    </xf>
    <xf numFmtId="0" fontId="0" fillId="2" borderId="6" xfId="2" applyFont="1" applyFill="1" applyBorder="1" applyAlignment="1">
      <alignment horizontal="center" vertical="center" wrapText="1"/>
    </xf>
    <xf numFmtId="0" fontId="16" fillId="2" borderId="5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7" fillId="2" borderId="5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49" fontId="15" fillId="2" borderId="5" xfId="2" applyNumberFormat="1" applyFont="1" applyFill="1" applyBorder="1" applyAlignment="1">
      <alignment horizontal="center" vertical="center" wrapText="1"/>
    </xf>
    <xf numFmtId="49" fontId="15" fillId="2" borderId="6" xfId="2" applyNumberFormat="1" applyFont="1" applyFill="1" applyBorder="1" applyAlignment="1">
      <alignment horizontal="center" vertical="center" wrapText="1"/>
    </xf>
    <xf numFmtId="49" fontId="15" fillId="2" borderId="7" xfId="2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</cellXfs>
  <cellStyles count="6">
    <cellStyle name="パーセント 9" xfId="5" xr:uid="{D1D9C8F3-02B3-425A-8730-C9281F98D44E}"/>
    <cellStyle name="標準 15" xfId="4" xr:uid="{497F0BD7-3E54-4D79-9CC7-C9D559032C22}"/>
    <cellStyle name="標準 4 2 2" xfId="1" xr:uid="{934DBE5A-A163-4720-A3F2-4EAA56D8358D}"/>
    <cellStyle name="常规" xfId="0" builtinId="0"/>
    <cellStyle name="常规 2 2" xfId="3" xr:uid="{6239565A-1735-4C81-896C-4B63D9C78FE3}"/>
    <cellStyle name="常规_Sheet1 2" xfId="2" xr:uid="{FD08B168-CD35-43DC-A366-748477B0E2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opLeftCell="H1" workbookViewId="0">
      <selection activeCell="Q17" sqref="Q17"/>
    </sheetView>
  </sheetViews>
  <sheetFormatPr defaultRowHeight="13.9"/>
  <cols>
    <col min="2" max="2" width="17.86328125" customWidth="1"/>
    <col min="6" max="7" width="13.53125" customWidth="1"/>
    <col min="14" max="14" width="12.6640625" customWidth="1"/>
    <col min="15" max="17" width="10.19921875" bestFit="1" customWidth="1"/>
    <col min="18" max="19" width="9.1328125" bestFit="1" customWidth="1"/>
    <col min="20" max="20" width="9.1328125" customWidth="1"/>
    <col min="23" max="23" width="11.1328125" customWidth="1"/>
  </cols>
  <sheetData>
    <row r="1" spans="1:24" ht="26.65" customHeight="1">
      <c r="A1" s="33" t="s">
        <v>36</v>
      </c>
      <c r="B1" s="64"/>
      <c r="C1" s="64"/>
      <c r="D1" s="64"/>
      <c r="E1" s="64"/>
      <c r="F1" s="64"/>
      <c r="G1" s="64"/>
      <c r="H1" s="64"/>
      <c r="I1" s="34"/>
      <c r="J1" s="33" t="s">
        <v>60</v>
      </c>
      <c r="K1" s="64"/>
      <c r="L1" s="64"/>
      <c r="M1" s="16"/>
      <c r="N1" s="16" t="s">
        <v>67</v>
      </c>
      <c r="O1" s="33" t="s">
        <v>42</v>
      </c>
      <c r="P1" s="64"/>
      <c r="Q1" s="64"/>
      <c r="R1" s="64"/>
      <c r="S1" s="64"/>
      <c r="T1" s="62" t="s">
        <v>75</v>
      </c>
      <c r="U1" s="65" t="s">
        <v>72</v>
      </c>
      <c r="V1" s="65" t="s">
        <v>73</v>
      </c>
      <c r="W1" s="59" t="s">
        <v>12</v>
      </c>
    </row>
    <row r="2" spans="1:24" ht="13.9" customHeight="1">
      <c r="A2" s="16"/>
      <c r="B2" s="54" t="s">
        <v>1</v>
      </c>
      <c r="C2" s="46" t="s">
        <v>23</v>
      </c>
      <c r="D2" s="46" t="s">
        <v>2</v>
      </c>
      <c r="E2" s="35" t="s">
        <v>37</v>
      </c>
      <c r="F2" s="35" t="s">
        <v>38</v>
      </c>
      <c r="G2" s="35" t="s">
        <v>39</v>
      </c>
      <c r="H2" s="35" t="s">
        <v>3</v>
      </c>
      <c r="I2" s="35" t="s">
        <v>40</v>
      </c>
      <c r="J2" s="35" t="s">
        <v>57</v>
      </c>
      <c r="K2" s="33" t="s">
        <v>65</v>
      </c>
      <c r="L2" s="34"/>
      <c r="M2" s="35" t="s">
        <v>41</v>
      </c>
      <c r="N2" s="35" t="s">
        <v>63</v>
      </c>
      <c r="O2" s="35" t="s">
        <v>6</v>
      </c>
      <c r="P2" s="35" t="s">
        <v>7</v>
      </c>
      <c r="Q2" s="35" t="s">
        <v>8</v>
      </c>
      <c r="R2" s="33" t="s">
        <v>65</v>
      </c>
      <c r="S2" s="34"/>
      <c r="T2" s="63"/>
      <c r="U2" s="19" t="s">
        <v>65</v>
      </c>
      <c r="V2" s="19" t="s">
        <v>65</v>
      </c>
      <c r="W2" s="60"/>
    </row>
    <row r="3" spans="1:24" ht="35.25">
      <c r="A3" s="18" t="s">
        <v>0</v>
      </c>
      <c r="B3" s="55"/>
      <c r="C3" s="47"/>
      <c r="D3" s="47"/>
      <c r="E3" s="36"/>
      <c r="F3" s="36"/>
      <c r="G3" s="36"/>
      <c r="H3" s="36"/>
      <c r="I3" s="36"/>
      <c r="J3" s="36"/>
      <c r="K3" s="17" t="s">
        <v>4</v>
      </c>
      <c r="L3" s="17" t="s">
        <v>5</v>
      </c>
      <c r="M3" s="36"/>
      <c r="N3" s="36"/>
      <c r="O3" s="36"/>
      <c r="P3" s="36"/>
      <c r="Q3" s="36"/>
      <c r="R3" s="17" t="s">
        <v>9</v>
      </c>
      <c r="S3" s="17" t="s">
        <v>10</v>
      </c>
      <c r="T3" s="32" t="s">
        <v>76</v>
      </c>
      <c r="U3" s="6" t="s">
        <v>70</v>
      </c>
      <c r="V3" s="7" t="s">
        <v>11</v>
      </c>
      <c r="W3" s="61"/>
      <c r="X3" s="5">
        <v>13200</v>
      </c>
    </row>
    <row r="4" spans="1:24" ht="15" customHeight="1">
      <c r="A4" s="2">
        <v>1</v>
      </c>
      <c r="B4" s="56" t="s">
        <v>13</v>
      </c>
      <c r="C4" s="51">
        <v>2</v>
      </c>
      <c r="D4" s="48" t="s">
        <v>24</v>
      </c>
      <c r="E4" s="1" t="s">
        <v>14</v>
      </c>
      <c r="F4" s="1" t="s">
        <v>15</v>
      </c>
      <c r="G4" s="1" t="s">
        <v>34</v>
      </c>
      <c r="H4" s="43" t="s">
        <v>35</v>
      </c>
      <c r="I4" s="40" t="s">
        <v>16</v>
      </c>
      <c r="J4" s="3" t="s">
        <v>58</v>
      </c>
      <c r="K4" s="8" t="s">
        <v>17</v>
      </c>
      <c r="L4" s="12">
        <v>24</v>
      </c>
      <c r="M4" s="12">
        <v>12.5</v>
      </c>
      <c r="N4" s="13" t="s">
        <v>64</v>
      </c>
      <c r="O4" s="14">
        <f>M4*$X$5/1000000</f>
        <v>0.15487500000000001</v>
      </c>
      <c r="P4" s="14">
        <f>18*45/200000</f>
        <v>4.0499999999999998E-3</v>
      </c>
      <c r="Q4" s="14">
        <f>300/(100000/E4*1000)</f>
        <v>8.0999999999999996E-4</v>
      </c>
      <c r="R4" s="9">
        <f>0.41/15</f>
        <v>2.7333333333333331E-2</v>
      </c>
      <c r="S4" s="9">
        <f>3.1/K4/L4</f>
        <v>8.611111111111111E-3</v>
      </c>
      <c r="T4" s="32"/>
      <c r="U4" s="11">
        <f>(O4+P4+Q4+R4+S4)*K4/$T$3</f>
        <v>0.43808830845771146</v>
      </c>
      <c r="V4" s="15">
        <v>0.54500000000000004</v>
      </c>
      <c r="W4" s="4">
        <f>U4/V4</f>
        <v>0.8038317586380026</v>
      </c>
      <c r="X4" s="5">
        <v>10500</v>
      </c>
    </row>
    <row r="5" spans="1:24" ht="15">
      <c r="A5" s="2">
        <v>2</v>
      </c>
      <c r="B5" s="57"/>
      <c r="C5" s="52"/>
      <c r="D5" s="49"/>
      <c r="E5" s="1" t="s">
        <v>14</v>
      </c>
      <c r="F5" s="1" t="s">
        <v>15</v>
      </c>
      <c r="G5" s="1" t="s">
        <v>34</v>
      </c>
      <c r="H5" s="44"/>
      <c r="I5" s="41"/>
      <c r="J5" s="3" t="s">
        <v>58</v>
      </c>
      <c r="K5" s="8" t="s">
        <v>18</v>
      </c>
      <c r="L5" s="12">
        <v>20</v>
      </c>
      <c r="M5" s="12">
        <v>12.5</v>
      </c>
      <c r="N5" s="13" t="s">
        <v>64</v>
      </c>
      <c r="O5" s="14">
        <f>M5*$X$5/1000000</f>
        <v>0.15487500000000001</v>
      </c>
      <c r="P5" s="14">
        <f>18*45/200000</f>
        <v>4.0499999999999998E-3</v>
      </c>
      <c r="Q5" s="14">
        <f>300/(100000/E5*1000)</f>
        <v>8.0999999999999996E-4</v>
      </c>
      <c r="R5" s="9">
        <f>0.5/K5</f>
        <v>0.01</v>
      </c>
      <c r="S5" s="9">
        <f>3.1/K5/L5</f>
        <v>3.0999999999999999E-3</v>
      </c>
      <c r="T5" s="32"/>
      <c r="U5" s="11">
        <f>(O5+P5+Q5+R5+S5)*K5/$T$3</f>
        <v>1.2898134328358208</v>
      </c>
      <c r="V5" s="15">
        <v>1.738</v>
      </c>
      <c r="W5" s="4">
        <f>U5/V5</f>
        <v>0.74212510519897634</v>
      </c>
      <c r="X5" s="5">
        <f>0.7*X3+0.3*X4</f>
        <v>12390</v>
      </c>
    </row>
    <row r="6" spans="1:24" ht="15">
      <c r="A6" s="2">
        <v>3</v>
      </c>
      <c r="B6" s="57"/>
      <c r="C6" s="52"/>
      <c r="D6" s="49"/>
      <c r="E6" s="1" t="s">
        <v>19</v>
      </c>
      <c r="F6" s="1" t="s">
        <v>20</v>
      </c>
      <c r="G6" s="1" t="s">
        <v>34</v>
      </c>
      <c r="H6" s="44"/>
      <c r="I6" s="41"/>
      <c r="J6" s="3" t="s">
        <v>58</v>
      </c>
      <c r="K6" s="8" t="s">
        <v>21</v>
      </c>
      <c r="L6" s="12">
        <v>24</v>
      </c>
      <c r="M6" s="12">
        <v>6.6</v>
      </c>
      <c r="N6" s="13" t="s">
        <v>64</v>
      </c>
      <c r="O6" s="14">
        <f>M6*$X$5/1000000</f>
        <v>8.1773999999999999E-2</v>
      </c>
      <c r="P6" s="14">
        <f>18*45/250000</f>
        <v>3.2399999999999998E-3</v>
      </c>
      <c r="Q6" s="14">
        <f>300/(100000/E6*1000)</f>
        <v>5.4000000000000001E-4</v>
      </c>
      <c r="R6" s="9">
        <f t="shared" ref="R6:R7" si="0">0.5/K6</f>
        <v>0.02</v>
      </c>
      <c r="S6" s="9">
        <f>2.8/K6/L6</f>
        <v>4.6666666666666662E-3</v>
      </c>
      <c r="T6" s="32"/>
      <c r="U6" s="11">
        <f>(O6+P6+Q6+R6+S6)*K6/$T$3</f>
        <v>0.411271144278607</v>
      </c>
      <c r="V6" s="15">
        <v>0.53200000000000003</v>
      </c>
      <c r="W6" s="4">
        <f>U6/V6</f>
        <v>0.77306606067407324</v>
      </c>
    </row>
    <row r="7" spans="1:24" ht="15">
      <c r="A7" s="2">
        <v>4</v>
      </c>
      <c r="B7" s="58"/>
      <c r="C7" s="53"/>
      <c r="D7" s="50"/>
      <c r="E7" s="1" t="s">
        <v>19</v>
      </c>
      <c r="F7" s="1" t="s">
        <v>20</v>
      </c>
      <c r="G7" s="1" t="s">
        <v>34</v>
      </c>
      <c r="H7" s="45"/>
      <c r="I7" s="42"/>
      <c r="J7" s="3" t="s">
        <v>58</v>
      </c>
      <c r="K7" s="8" t="s">
        <v>22</v>
      </c>
      <c r="L7" s="12">
        <v>20</v>
      </c>
      <c r="M7" s="12">
        <v>6.6</v>
      </c>
      <c r="N7" s="13" t="s">
        <v>64</v>
      </c>
      <c r="O7" s="14">
        <f>M7*$X$5/1000000</f>
        <v>8.1773999999999999E-2</v>
      </c>
      <c r="P7" s="14">
        <f>18*45/250000</f>
        <v>3.2399999999999998E-3</v>
      </c>
      <c r="Q7" s="14">
        <f>300/(100000/E7*1000)</f>
        <v>5.4000000000000001E-4</v>
      </c>
      <c r="R7" s="9">
        <f t="shared" si="0"/>
        <v>6.2500000000000003E-3</v>
      </c>
      <c r="S7" s="9">
        <f>2.8/K7/L7</f>
        <v>1.7499999999999998E-3</v>
      </c>
      <c r="T7" s="32"/>
      <c r="U7" s="11">
        <f>(O7+P7+Q7+R7+S7)*K7/$T$3</f>
        <v>1.1170626865671642</v>
      </c>
      <c r="V7" s="15">
        <v>1.6679999999999999</v>
      </c>
      <c r="W7" s="4">
        <f>U7/V7</f>
        <v>0.66970185045993058</v>
      </c>
    </row>
    <row r="8" spans="1:24" ht="15" customHeight="1">
      <c r="A8" s="2">
        <v>5</v>
      </c>
      <c r="B8" s="20" t="s">
        <v>29</v>
      </c>
      <c r="C8" s="37">
        <v>2</v>
      </c>
      <c r="D8" s="37" t="s">
        <v>28</v>
      </c>
      <c r="E8" s="1" t="s">
        <v>27</v>
      </c>
      <c r="F8" s="1" t="s">
        <v>25</v>
      </c>
      <c r="G8" s="1" t="s">
        <v>34</v>
      </c>
      <c r="H8" s="37" t="s">
        <v>35</v>
      </c>
      <c r="I8" s="37">
        <v>0.06</v>
      </c>
      <c r="J8" s="3" t="s">
        <v>58</v>
      </c>
      <c r="K8" s="8" t="s">
        <v>21</v>
      </c>
      <c r="L8" s="12">
        <v>30</v>
      </c>
      <c r="M8" s="12">
        <v>4.5999999999999996</v>
      </c>
      <c r="N8" s="13" t="s">
        <v>64</v>
      </c>
      <c r="O8" s="14">
        <f>M8*$X$10/1000000</f>
        <v>4.3240000000000001E-2</v>
      </c>
      <c r="P8" s="14">
        <f>18*45/280000</f>
        <v>2.8928571428571428E-3</v>
      </c>
      <c r="Q8" s="14">
        <f>300/(100000/E8*1000)</f>
        <v>4.8000000000000001E-4</v>
      </c>
      <c r="R8" s="9">
        <f>0.4/K8</f>
        <v>1.6E-2</v>
      </c>
      <c r="S8" s="9">
        <f>2.8/K8/L8</f>
        <v>3.7333333333333329E-3</v>
      </c>
      <c r="T8" s="32"/>
      <c r="U8" s="11">
        <f>(O8+P8+Q8+R8+S8)*K8/$T$3</f>
        <v>0.2475604122245913</v>
      </c>
      <c r="V8" s="15">
        <v>0.32975870714285699</v>
      </c>
      <c r="W8" s="4">
        <f>U8/V8</f>
        <v>0.75073199543247837</v>
      </c>
      <c r="X8">
        <v>10000</v>
      </c>
    </row>
    <row r="9" spans="1:24" ht="15">
      <c r="A9" s="2">
        <v>6</v>
      </c>
      <c r="B9" s="20" t="s">
        <v>30</v>
      </c>
      <c r="C9" s="38"/>
      <c r="D9" s="38"/>
      <c r="E9" s="1" t="s">
        <v>19</v>
      </c>
      <c r="F9" s="1" t="s">
        <v>26</v>
      </c>
      <c r="G9" s="1" t="s">
        <v>34</v>
      </c>
      <c r="H9" s="38"/>
      <c r="I9" s="38"/>
      <c r="J9" s="3" t="s">
        <v>58</v>
      </c>
      <c r="K9" s="8" t="s">
        <v>32</v>
      </c>
      <c r="L9" s="12">
        <v>30</v>
      </c>
      <c r="M9" s="12">
        <v>5.9</v>
      </c>
      <c r="N9" s="13" t="s">
        <v>64</v>
      </c>
      <c r="O9" s="14">
        <f t="shared" ref="O9:O10" si="1">M9*$X$10/1000000</f>
        <v>5.5460000000000002E-2</v>
      </c>
      <c r="P9" s="14">
        <f t="shared" ref="P9" si="2">18*45/250000</f>
        <v>3.2399999999999998E-3</v>
      </c>
      <c r="Q9" s="14">
        <f>300/(100000/E9*1000)</f>
        <v>5.4000000000000001E-4</v>
      </c>
      <c r="R9" s="9">
        <f>0.42/K9</f>
        <v>2.0999999999999998E-2</v>
      </c>
      <c r="S9" s="9">
        <f>2.8/K9/L9</f>
        <v>4.6666666666666662E-3</v>
      </c>
      <c r="T9" s="32"/>
      <c r="U9" s="11">
        <f>(O9+P9+Q9+R9+S9)*K9/$T$3</f>
        <v>0.25345273631840798</v>
      </c>
      <c r="V9" s="15">
        <v>0.33821699999999999</v>
      </c>
      <c r="W9" s="4">
        <f>U9/V9</f>
        <v>0.74937905639990887</v>
      </c>
      <c r="X9">
        <v>8000</v>
      </c>
    </row>
    <row r="10" spans="1:24" ht="15">
      <c r="A10" s="2">
        <v>7</v>
      </c>
      <c r="B10" s="20" t="s">
        <v>31</v>
      </c>
      <c r="C10" s="39"/>
      <c r="D10" s="39"/>
      <c r="E10" s="1" t="s">
        <v>14</v>
      </c>
      <c r="F10" s="1" t="s">
        <v>15</v>
      </c>
      <c r="G10" s="1" t="s">
        <v>34</v>
      </c>
      <c r="H10" s="39"/>
      <c r="I10" s="39"/>
      <c r="J10" s="3" t="s">
        <v>58</v>
      </c>
      <c r="K10" s="8" t="s">
        <v>33</v>
      </c>
      <c r="L10" s="12">
        <v>30</v>
      </c>
      <c r="M10" s="12">
        <v>11.5</v>
      </c>
      <c r="N10" s="13" t="s">
        <v>64</v>
      </c>
      <c r="O10" s="14">
        <f t="shared" si="1"/>
        <v>0.1081</v>
      </c>
      <c r="P10" s="14">
        <f>18*45/200000</f>
        <v>4.0499999999999998E-3</v>
      </c>
      <c r="Q10" s="14">
        <f>300/(100000/E10*1000)</f>
        <v>8.0999999999999996E-4</v>
      </c>
      <c r="R10" s="9">
        <f>0.45/K10</f>
        <v>4.4999999999999998E-2</v>
      </c>
      <c r="S10" s="9">
        <f>3.1/K10/L10</f>
        <v>1.0333333333333333E-2</v>
      </c>
      <c r="T10" s="32"/>
      <c r="U10" s="11">
        <f>(O10+P10+Q10+R10+S10)*K10/$T$3</f>
        <v>0.25118407960199002</v>
      </c>
      <c r="V10" s="15">
        <v>0.33258073325714299</v>
      </c>
      <c r="W10" s="4">
        <f>U10/V10</f>
        <v>0.7552574592701401</v>
      </c>
      <c r="X10">
        <f>0.7*X8+0.3*X9</f>
        <v>9400</v>
      </c>
    </row>
  </sheetData>
  <mergeCells count="31">
    <mergeCell ref="T3:T10"/>
    <mergeCell ref="B4:B7"/>
    <mergeCell ref="C4:C7"/>
    <mergeCell ref="D4:D7"/>
    <mergeCell ref="H4:H7"/>
    <mergeCell ref="I4:I7"/>
    <mergeCell ref="D8:D10"/>
    <mergeCell ref="C8:C10"/>
    <mergeCell ref="H8:H10"/>
    <mergeCell ref="I8:I10"/>
    <mergeCell ref="G2:G3"/>
    <mergeCell ref="H2:H3"/>
    <mergeCell ref="J1:L1"/>
    <mergeCell ref="K2:L2"/>
    <mergeCell ref="A1:I1"/>
    <mergeCell ref="B2:B3"/>
    <mergeCell ref="C2:C3"/>
    <mergeCell ref="D2:D3"/>
    <mergeCell ref="E2:E3"/>
    <mergeCell ref="F2:F3"/>
    <mergeCell ref="W1:W3"/>
    <mergeCell ref="T1:T2"/>
    <mergeCell ref="N2:N3"/>
    <mergeCell ref="O1:S1"/>
    <mergeCell ref="R2:S2"/>
    <mergeCell ref="O2:O3"/>
    <mergeCell ref="P2:P3"/>
    <mergeCell ref="Q2:Q3"/>
    <mergeCell ref="M2:M3"/>
    <mergeCell ref="I2:I3"/>
    <mergeCell ref="J2:J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20AD-3B3F-40EE-83B5-023853D33B64}">
  <dimension ref="A1:Y42"/>
  <sheetViews>
    <sheetView tabSelected="1" topLeftCell="A17" workbookViewId="0">
      <selection activeCell="A4" sqref="A4:A42"/>
    </sheetView>
  </sheetViews>
  <sheetFormatPr defaultRowHeight="13.9"/>
  <cols>
    <col min="2" max="2" width="17.86328125" customWidth="1"/>
    <col min="6" max="7" width="13.53125" customWidth="1"/>
    <col min="14" max="14" width="12.6640625" customWidth="1"/>
    <col min="15" max="17" width="10.19921875" bestFit="1" customWidth="1"/>
    <col min="18" max="20" width="9.1328125" customWidth="1"/>
    <col min="23" max="23" width="11.1328125" customWidth="1"/>
  </cols>
  <sheetData>
    <row r="1" spans="1:25" ht="26.65" customHeight="1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 t="s">
        <v>60</v>
      </c>
      <c r="K1" s="26"/>
      <c r="L1" s="26"/>
      <c r="M1" s="16"/>
      <c r="N1" s="16" t="s">
        <v>67</v>
      </c>
      <c r="O1" s="26" t="s">
        <v>42</v>
      </c>
      <c r="P1" s="26"/>
      <c r="Q1" s="26"/>
      <c r="R1" s="26"/>
      <c r="S1" s="26"/>
      <c r="T1" s="26" t="s">
        <v>75</v>
      </c>
      <c r="U1" s="19"/>
      <c r="V1" s="19"/>
      <c r="W1" s="25" t="s">
        <v>12</v>
      </c>
    </row>
    <row r="2" spans="1:25" ht="13.9" customHeight="1">
      <c r="A2" s="16"/>
      <c r="B2" s="29" t="s">
        <v>1</v>
      </c>
      <c r="C2" s="30" t="s">
        <v>23</v>
      </c>
      <c r="D2" s="30" t="s">
        <v>2</v>
      </c>
      <c r="E2" s="28" t="s">
        <v>37</v>
      </c>
      <c r="F2" s="28" t="s">
        <v>38</v>
      </c>
      <c r="G2" s="28" t="s">
        <v>39</v>
      </c>
      <c r="H2" s="28" t="s">
        <v>3</v>
      </c>
      <c r="I2" s="28" t="s">
        <v>40</v>
      </c>
      <c r="J2" s="28" t="s">
        <v>57</v>
      </c>
      <c r="K2" s="26" t="s">
        <v>66</v>
      </c>
      <c r="L2" s="26"/>
      <c r="M2" s="28" t="s">
        <v>41</v>
      </c>
      <c r="N2" s="28" t="s">
        <v>63</v>
      </c>
      <c r="O2" s="28" t="s">
        <v>6</v>
      </c>
      <c r="P2" s="28" t="s">
        <v>7</v>
      </c>
      <c r="Q2" s="28" t="s">
        <v>8</v>
      </c>
      <c r="R2" s="26" t="s">
        <v>66</v>
      </c>
      <c r="S2" s="26"/>
      <c r="T2" s="26"/>
      <c r="U2" s="19" t="s">
        <v>66</v>
      </c>
      <c r="V2" s="19" t="s">
        <v>66</v>
      </c>
      <c r="W2" s="25"/>
    </row>
    <row r="3" spans="1:25" ht="35.25">
      <c r="A3" s="18" t="s">
        <v>0</v>
      </c>
      <c r="B3" s="29"/>
      <c r="C3" s="30"/>
      <c r="D3" s="30"/>
      <c r="E3" s="28"/>
      <c r="F3" s="28"/>
      <c r="G3" s="28"/>
      <c r="H3" s="28"/>
      <c r="I3" s="28"/>
      <c r="J3" s="28"/>
      <c r="K3" s="17" t="s">
        <v>61</v>
      </c>
      <c r="L3" s="17" t="s">
        <v>62</v>
      </c>
      <c r="M3" s="28"/>
      <c r="N3" s="28"/>
      <c r="O3" s="28"/>
      <c r="P3" s="28"/>
      <c r="Q3" s="28"/>
      <c r="R3" s="17" t="s">
        <v>68</v>
      </c>
      <c r="S3" s="17" t="s">
        <v>69</v>
      </c>
      <c r="T3" s="32" t="s">
        <v>76</v>
      </c>
      <c r="U3" s="6" t="s">
        <v>71</v>
      </c>
      <c r="V3" s="7" t="s">
        <v>74</v>
      </c>
      <c r="W3" s="25"/>
      <c r="X3" s="5">
        <v>13200</v>
      </c>
    </row>
    <row r="4" spans="1:25" ht="15">
      <c r="A4" s="2">
        <v>1</v>
      </c>
      <c r="B4" s="21" t="s">
        <v>43</v>
      </c>
      <c r="C4" s="10">
        <v>1</v>
      </c>
      <c r="D4" s="10" t="s">
        <v>56</v>
      </c>
      <c r="E4" s="21">
        <v>50</v>
      </c>
      <c r="F4" s="21">
        <v>70</v>
      </c>
      <c r="G4" s="10">
        <v>20</v>
      </c>
      <c r="H4" s="27" t="s">
        <v>35</v>
      </c>
      <c r="I4" s="27">
        <v>0.04</v>
      </c>
      <c r="J4" s="10" t="s">
        <v>59</v>
      </c>
      <c r="K4" s="21">
        <v>300</v>
      </c>
      <c r="L4" s="21">
        <v>70</v>
      </c>
      <c r="M4" s="21">
        <v>0.44</v>
      </c>
      <c r="N4" s="13" t="s">
        <v>64</v>
      </c>
      <c r="O4" s="10">
        <f>M4*$X$7/1000000</f>
        <v>5.1568000000000004E-3</v>
      </c>
      <c r="P4" s="21">
        <v>0</v>
      </c>
      <c r="Q4" s="21">
        <v>0</v>
      </c>
      <c r="R4" s="10">
        <f>10/L4/K4</f>
        <v>4.7619047619047619E-4</v>
      </c>
      <c r="S4" s="10">
        <f>7/L4/K4</f>
        <v>3.3333333333333338E-4</v>
      </c>
      <c r="T4" s="32"/>
      <c r="U4" s="22">
        <f>(O4+R4+S4)*K4/$T$3</f>
        <v>0.26714882729211092</v>
      </c>
      <c r="V4" s="22">
        <v>0.46785714285714286</v>
      </c>
      <c r="W4" s="4">
        <f>U4/V4</f>
        <v>0.57100512703657291</v>
      </c>
    </row>
    <row r="5" spans="1:25" ht="15">
      <c r="A5" s="2">
        <v>2</v>
      </c>
      <c r="B5" s="21" t="s">
        <v>44</v>
      </c>
      <c r="C5" s="10">
        <v>1</v>
      </c>
      <c r="D5" s="10" t="s">
        <v>56</v>
      </c>
      <c r="E5" s="21">
        <v>60</v>
      </c>
      <c r="F5" s="21">
        <v>85</v>
      </c>
      <c r="G5" s="10">
        <v>20</v>
      </c>
      <c r="H5" s="27"/>
      <c r="I5" s="27"/>
      <c r="J5" s="10" t="s">
        <v>59</v>
      </c>
      <c r="K5" s="21">
        <v>300</v>
      </c>
      <c r="L5" s="21">
        <v>50</v>
      </c>
      <c r="M5" s="21">
        <v>0.57999999999999996</v>
      </c>
      <c r="N5" s="13" t="s">
        <v>64</v>
      </c>
      <c r="O5" s="10">
        <f>M5*$X$7/1000000</f>
        <v>6.7975999999999991E-3</v>
      </c>
      <c r="P5" s="21">
        <v>0</v>
      </c>
      <c r="Q5" s="21">
        <v>0</v>
      </c>
      <c r="R5" s="10">
        <f>10/L5/K5</f>
        <v>6.6666666666666675E-4</v>
      </c>
      <c r="S5" s="10">
        <f>7/L5/K5</f>
        <v>4.6666666666666672E-4</v>
      </c>
      <c r="T5" s="32"/>
      <c r="U5" s="22">
        <f>(O5+R5+S5)*K5/$T$3</f>
        <v>0.35511641791044768</v>
      </c>
      <c r="V5" s="22">
        <v>0.54700000000000004</v>
      </c>
      <c r="W5" s="4">
        <f>U5/V5</f>
        <v>0.64920734535730829</v>
      </c>
      <c r="X5">
        <v>12500</v>
      </c>
    </row>
    <row r="6" spans="1:25" ht="15">
      <c r="A6" s="2">
        <v>3</v>
      </c>
      <c r="B6" s="21" t="s">
        <v>45</v>
      </c>
      <c r="C6" s="10">
        <v>1</v>
      </c>
      <c r="D6" s="10" t="s">
        <v>56</v>
      </c>
      <c r="E6" s="21">
        <v>70</v>
      </c>
      <c r="F6" s="21">
        <v>100</v>
      </c>
      <c r="G6" s="10">
        <v>20</v>
      </c>
      <c r="H6" s="27"/>
      <c r="I6" s="27"/>
      <c r="J6" s="10" t="s">
        <v>59</v>
      </c>
      <c r="K6" s="21">
        <v>200</v>
      </c>
      <c r="L6" s="21">
        <v>65</v>
      </c>
      <c r="M6" s="21">
        <v>0.76</v>
      </c>
      <c r="N6" s="13" t="s">
        <v>64</v>
      </c>
      <c r="O6" s="10">
        <f>M6*$X$7/1000000</f>
        <v>8.9072000000000005E-3</v>
      </c>
      <c r="P6" s="21">
        <v>0</v>
      </c>
      <c r="Q6" s="21">
        <v>0</v>
      </c>
      <c r="R6" s="10">
        <f>10/L6/K6</f>
        <v>7.6923076923076923E-4</v>
      </c>
      <c r="S6" s="10">
        <f>7/L6/K6</f>
        <v>5.3846153846153844E-4</v>
      </c>
      <c r="T6" s="32"/>
      <c r="U6" s="22">
        <f>(O6+R6+S6)*K6/$T$3</f>
        <v>0.30492215843857634</v>
      </c>
      <c r="V6" s="22">
        <v>0.4638461538461538</v>
      </c>
      <c r="W6" s="4">
        <f>U6/V6</f>
        <v>0.65737778767852284</v>
      </c>
      <c r="X6">
        <v>9900</v>
      </c>
    </row>
    <row r="7" spans="1:25" ht="15">
      <c r="A7" s="2">
        <v>4</v>
      </c>
      <c r="B7" s="21" t="s">
        <v>46</v>
      </c>
      <c r="C7" s="10">
        <v>1</v>
      </c>
      <c r="D7" s="10" t="s">
        <v>56</v>
      </c>
      <c r="E7" s="21">
        <v>85</v>
      </c>
      <c r="F7" s="21">
        <v>120</v>
      </c>
      <c r="G7" s="10">
        <v>20</v>
      </c>
      <c r="H7" s="27"/>
      <c r="I7" s="27"/>
      <c r="J7" s="10" t="s">
        <v>59</v>
      </c>
      <c r="K7" s="21">
        <v>200</v>
      </c>
      <c r="L7" s="21">
        <v>50</v>
      </c>
      <c r="M7" s="21">
        <v>1.07</v>
      </c>
      <c r="N7" s="13" t="s">
        <v>64</v>
      </c>
      <c r="O7" s="10">
        <f>M7*$X$7/1000000</f>
        <v>1.2540400000000002E-2</v>
      </c>
      <c r="P7" s="21">
        <v>0</v>
      </c>
      <c r="Q7" s="21">
        <v>0</v>
      </c>
      <c r="R7" s="10">
        <f>10/L7/K7</f>
        <v>1E-3</v>
      </c>
      <c r="S7" s="10">
        <f>7/L7/K7</f>
        <v>7.000000000000001E-4</v>
      </c>
      <c r="T7" s="32"/>
      <c r="U7" s="22">
        <f>(O7+R7+S7)*K7/$T$3</f>
        <v>0.42508656716417909</v>
      </c>
      <c r="V7" s="22">
        <v>0.61380000000000001</v>
      </c>
      <c r="W7" s="4">
        <f>U7/V7</f>
        <v>0.69254898527888409</v>
      </c>
      <c r="X7">
        <f>X5*0.7+X6*0.3</f>
        <v>11720</v>
      </c>
      <c r="Y7">
        <f>0.5*X5+0.5*X6</f>
        <v>11200</v>
      </c>
    </row>
    <row r="8" spans="1:25" ht="15">
      <c r="A8" s="2">
        <v>5</v>
      </c>
      <c r="B8" s="21" t="s">
        <v>47</v>
      </c>
      <c r="C8" s="10">
        <v>1</v>
      </c>
      <c r="D8" s="10" t="s">
        <v>56</v>
      </c>
      <c r="E8" s="21">
        <v>100</v>
      </c>
      <c r="F8" s="21">
        <v>140</v>
      </c>
      <c r="G8" s="10">
        <v>20</v>
      </c>
      <c r="H8" s="27"/>
      <c r="I8" s="27"/>
      <c r="J8" s="10" t="s">
        <v>59</v>
      </c>
      <c r="K8" s="21">
        <v>200</v>
      </c>
      <c r="L8" s="21">
        <v>40</v>
      </c>
      <c r="M8" s="21">
        <v>1.46</v>
      </c>
      <c r="N8" s="13" t="s">
        <v>64</v>
      </c>
      <c r="O8" s="10">
        <f>M8*$X$7/1000000</f>
        <v>1.71112E-2</v>
      </c>
      <c r="P8" s="21">
        <v>0</v>
      </c>
      <c r="Q8" s="21">
        <v>0</v>
      </c>
      <c r="R8" s="10">
        <f>10/L8/K8</f>
        <v>1.25E-3</v>
      </c>
      <c r="S8" s="10">
        <f>7/L8/K8</f>
        <v>8.7499999999999991E-4</v>
      </c>
      <c r="T8" s="32"/>
      <c r="U8" s="22">
        <f>(O8+R8+S8)*K8/$T$3</f>
        <v>0.57421492537313434</v>
      </c>
      <c r="V8" s="22">
        <v>0.78300000000000003</v>
      </c>
      <c r="W8" s="4">
        <f>U8/V8</f>
        <v>0.73335239511255979</v>
      </c>
    </row>
    <row r="9" spans="1:25" ht="15">
      <c r="A9" s="2">
        <v>6</v>
      </c>
      <c r="B9" s="21" t="s">
        <v>48</v>
      </c>
      <c r="C9" s="10">
        <v>1</v>
      </c>
      <c r="D9" s="10" t="s">
        <v>56</v>
      </c>
      <c r="E9" s="21">
        <v>120</v>
      </c>
      <c r="F9" s="21">
        <v>170</v>
      </c>
      <c r="G9" s="10">
        <v>20</v>
      </c>
      <c r="H9" s="27"/>
      <c r="I9" s="27"/>
      <c r="J9" s="10" t="s">
        <v>59</v>
      </c>
      <c r="K9" s="21">
        <v>100</v>
      </c>
      <c r="L9" s="21">
        <v>60</v>
      </c>
      <c r="M9" s="21">
        <v>2.1</v>
      </c>
      <c r="N9" s="13" t="s">
        <v>64</v>
      </c>
      <c r="O9" s="10">
        <f>M9*$X$7/1000000</f>
        <v>2.4611999999999998E-2</v>
      </c>
      <c r="P9" s="21">
        <v>0</v>
      </c>
      <c r="Q9" s="21">
        <v>0</v>
      </c>
      <c r="R9" s="10">
        <f>10/L9/K9</f>
        <v>1.6666666666666666E-3</v>
      </c>
      <c r="S9" s="10">
        <f>7/L9/K9</f>
        <v>1.1666666666666668E-3</v>
      </c>
      <c r="T9" s="32"/>
      <c r="U9" s="22">
        <f>(O9+R9+S9)*K9/$T$3</f>
        <v>0.40963184079601983</v>
      </c>
      <c r="V9" s="22">
        <v>0.55166666666666664</v>
      </c>
      <c r="W9" s="4">
        <f>U9/V9</f>
        <v>0.74253505884474902</v>
      </c>
    </row>
    <row r="10" spans="1:25" ht="15">
      <c r="A10" s="2">
        <v>7</v>
      </c>
      <c r="B10" s="21" t="s">
        <v>49</v>
      </c>
      <c r="C10" s="10">
        <v>1</v>
      </c>
      <c r="D10" s="10" t="s">
        <v>56</v>
      </c>
      <c r="E10" s="21">
        <v>140</v>
      </c>
      <c r="F10" s="21">
        <v>200</v>
      </c>
      <c r="G10" s="10">
        <v>20</v>
      </c>
      <c r="H10" s="27"/>
      <c r="I10" s="27"/>
      <c r="J10" s="10" t="s">
        <v>59</v>
      </c>
      <c r="K10" s="21">
        <v>100</v>
      </c>
      <c r="L10" s="21">
        <v>50</v>
      </c>
      <c r="M10" s="21">
        <v>2.89</v>
      </c>
      <c r="N10" s="13" t="s">
        <v>64</v>
      </c>
      <c r="O10" s="10">
        <f>M10*$X$7/1000000</f>
        <v>3.38708E-2</v>
      </c>
      <c r="P10" s="21">
        <v>0</v>
      </c>
      <c r="Q10" s="21">
        <v>0</v>
      </c>
      <c r="R10" s="10">
        <f>10/L10/K10</f>
        <v>2E-3</v>
      </c>
      <c r="S10" s="10">
        <f>7/L10/K10</f>
        <v>1.4000000000000002E-3</v>
      </c>
      <c r="T10" s="32"/>
      <c r="U10" s="22">
        <f>(O10+R10+S10)*K10/$T$3</f>
        <v>0.55628059701492538</v>
      </c>
      <c r="V10" s="22">
        <v>0.70680000000000009</v>
      </c>
      <c r="W10" s="4">
        <f>U10/V10</f>
        <v>0.78704102577097523</v>
      </c>
    </row>
    <row r="11" spans="1:25" ht="15">
      <c r="A11" s="2">
        <v>8</v>
      </c>
      <c r="B11" s="21" t="s">
        <v>50</v>
      </c>
      <c r="C11" s="10">
        <v>1</v>
      </c>
      <c r="D11" s="10" t="s">
        <v>56</v>
      </c>
      <c r="E11" s="21">
        <v>170</v>
      </c>
      <c r="F11" s="21">
        <v>240</v>
      </c>
      <c r="G11" s="10">
        <v>20</v>
      </c>
      <c r="H11" s="27"/>
      <c r="I11" s="27"/>
      <c r="J11" s="10" t="s">
        <v>59</v>
      </c>
      <c r="K11" s="21">
        <v>100</v>
      </c>
      <c r="L11" s="21">
        <v>35</v>
      </c>
      <c r="M11" s="21">
        <v>4.16</v>
      </c>
      <c r="N11" s="13" t="s">
        <v>64</v>
      </c>
      <c r="O11" s="10">
        <f>M11*$X$7/1000000</f>
        <v>4.8755200000000005E-2</v>
      </c>
      <c r="P11" s="21">
        <v>0</v>
      </c>
      <c r="Q11" s="21">
        <v>0</v>
      </c>
      <c r="R11" s="10">
        <f>10/L11/K11</f>
        <v>2.8571428571428571E-3</v>
      </c>
      <c r="S11" s="10">
        <f>7/L11/K11</f>
        <v>2E-3</v>
      </c>
      <c r="T11" s="32"/>
      <c r="U11" s="22">
        <f>(O11+R11+S11)*K11/$T$3</f>
        <v>0.80018422174840098</v>
      </c>
      <c r="V11" s="22">
        <v>1.012</v>
      </c>
      <c r="W11" s="4">
        <f>U11/V11</f>
        <v>0.79069587129288632</v>
      </c>
    </row>
    <row r="12" spans="1:25" ht="15">
      <c r="A12" s="2">
        <v>9</v>
      </c>
      <c r="B12" s="21" t="s">
        <v>51</v>
      </c>
      <c r="C12" s="10">
        <v>1</v>
      </c>
      <c r="D12" s="10" t="s">
        <v>56</v>
      </c>
      <c r="E12" s="21">
        <v>200</v>
      </c>
      <c r="F12" s="21">
        <v>280</v>
      </c>
      <c r="G12" s="10">
        <v>20</v>
      </c>
      <c r="H12" s="27"/>
      <c r="I12" s="27"/>
      <c r="J12" s="10" t="s">
        <v>59</v>
      </c>
      <c r="K12" s="21">
        <v>100</v>
      </c>
      <c r="L12" s="21">
        <v>25</v>
      </c>
      <c r="M12" s="21">
        <v>5.66</v>
      </c>
      <c r="N12" s="13" t="s">
        <v>64</v>
      </c>
      <c r="O12" s="10">
        <f>M12*$X$7/1000000</f>
        <v>6.6335199999999997E-2</v>
      </c>
      <c r="P12" s="21">
        <v>0</v>
      </c>
      <c r="Q12" s="21">
        <v>0</v>
      </c>
      <c r="R12" s="10">
        <f>10/L12/K12</f>
        <v>4.0000000000000001E-3</v>
      </c>
      <c r="S12" s="10">
        <f>7/L12/K12</f>
        <v>2.8000000000000004E-3</v>
      </c>
      <c r="T12" s="32"/>
      <c r="U12" s="22">
        <f>(O12+R12+S12)*K12/$T$3</f>
        <v>1.0915701492537313</v>
      </c>
      <c r="V12" s="22">
        <v>1.3580000000000001</v>
      </c>
      <c r="W12" s="4">
        <f>U12/V12</f>
        <v>0.80380717912645894</v>
      </c>
    </row>
    <row r="13" spans="1:25" ht="15">
      <c r="A13" s="2">
        <v>10</v>
      </c>
      <c r="B13" s="21" t="s">
        <v>52</v>
      </c>
      <c r="C13" s="10">
        <v>1</v>
      </c>
      <c r="D13" s="10" t="s">
        <v>56</v>
      </c>
      <c r="E13" s="21">
        <v>240</v>
      </c>
      <c r="F13" s="21">
        <v>340</v>
      </c>
      <c r="G13" s="10">
        <v>20</v>
      </c>
      <c r="H13" s="27"/>
      <c r="I13" s="27"/>
      <c r="J13" s="10" t="s">
        <v>59</v>
      </c>
      <c r="K13" s="21">
        <v>100</v>
      </c>
      <c r="L13" s="21">
        <v>15</v>
      </c>
      <c r="M13" s="21">
        <v>7.9</v>
      </c>
      <c r="N13" s="13" t="s">
        <v>64</v>
      </c>
      <c r="O13" s="10">
        <f>M13*$X$7/1000000</f>
        <v>9.2588000000000004E-2</v>
      </c>
      <c r="P13" s="21">
        <v>0</v>
      </c>
      <c r="Q13" s="21">
        <v>0</v>
      </c>
      <c r="R13" s="10">
        <f>10/L13/K13</f>
        <v>6.6666666666666662E-3</v>
      </c>
      <c r="S13" s="10">
        <f>7/L13/K13</f>
        <v>4.6666666666666671E-3</v>
      </c>
      <c r="T13" s="32"/>
      <c r="U13" s="22">
        <f>(O13+R13+S13)*K13/$T$3</f>
        <v>1.5510646766169154</v>
      </c>
      <c r="V13" s="22">
        <v>1.9400000000000002</v>
      </c>
      <c r="W13" s="4">
        <f>U13/V13</f>
        <v>0.79951787454480172</v>
      </c>
    </row>
    <row r="14" spans="1:25" ht="15">
      <c r="A14" s="2">
        <v>11</v>
      </c>
      <c r="B14" s="21" t="s">
        <v>53</v>
      </c>
      <c r="C14" s="10">
        <v>1</v>
      </c>
      <c r="D14" s="10" t="s">
        <v>56</v>
      </c>
      <c r="E14" s="21">
        <v>280</v>
      </c>
      <c r="F14" s="21">
        <v>400</v>
      </c>
      <c r="G14" s="10">
        <v>20</v>
      </c>
      <c r="H14" s="27"/>
      <c r="I14" s="27"/>
      <c r="J14" s="10" t="s">
        <v>59</v>
      </c>
      <c r="K14" s="21">
        <v>100</v>
      </c>
      <c r="L14" s="21">
        <v>15</v>
      </c>
      <c r="M14" s="21">
        <v>10.81</v>
      </c>
      <c r="N14" s="13" t="s">
        <v>64</v>
      </c>
      <c r="O14" s="10">
        <f>M14*$X$7/1000000</f>
        <v>0.12669320000000001</v>
      </c>
      <c r="P14" s="21">
        <v>0</v>
      </c>
      <c r="Q14" s="21">
        <v>0</v>
      </c>
      <c r="R14" s="10">
        <f>10/L14/K14</f>
        <v>6.6666666666666662E-3</v>
      </c>
      <c r="S14" s="10">
        <f>7/L14/K14</f>
        <v>4.6666666666666671E-3</v>
      </c>
      <c r="T14" s="32"/>
      <c r="U14" s="22">
        <f>(O14+R14+S14)*K14/$T$3</f>
        <v>2.0600975124378111</v>
      </c>
      <c r="V14" s="22">
        <v>2.6053333333333333</v>
      </c>
      <c r="W14" s="4">
        <f>U14/V14</f>
        <v>0.79072320078216907</v>
      </c>
    </row>
    <row r="15" spans="1:25" ht="15">
      <c r="A15" s="2">
        <v>12</v>
      </c>
      <c r="B15" s="21" t="s">
        <v>54</v>
      </c>
      <c r="C15" s="10">
        <v>1</v>
      </c>
      <c r="D15" s="10" t="s">
        <v>56</v>
      </c>
      <c r="E15" s="21">
        <v>340</v>
      </c>
      <c r="F15" s="21">
        <v>480</v>
      </c>
      <c r="G15" s="10">
        <v>20</v>
      </c>
      <c r="H15" s="27"/>
      <c r="I15" s="27"/>
      <c r="J15" s="10" t="s">
        <v>59</v>
      </c>
      <c r="K15" s="21">
        <v>100</v>
      </c>
      <c r="L15" s="21">
        <v>10</v>
      </c>
      <c r="M15" s="21">
        <v>15.64</v>
      </c>
      <c r="N15" s="13" t="s">
        <v>64</v>
      </c>
      <c r="O15" s="10">
        <f>M15*$X$7/1000000</f>
        <v>0.18330080000000001</v>
      </c>
      <c r="P15" s="21">
        <v>0</v>
      </c>
      <c r="Q15" s="21">
        <v>0</v>
      </c>
      <c r="R15" s="10">
        <f>10/L15/K15</f>
        <v>0.01</v>
      </c>
      <c r="S15" s="10">
        <f>7/L15/K15</f>
        <v>6.9999999999999993E-3</v>
      </c>
      <c r="T15" s="32"/>
      <c r="U15" s="22">
        <f>(O15+R15+S15)*K15/$T$3</f>
        <v>2.9895641791044776</v>
      </c>
      <c r="V15" s="22">
        <v>3.7329999999999997</v>
      </c>
      <c r="W15" s="4">
        <f>U15/V15</f>
        <v>0.80084762365509721</v>
      </c>
    </row>
    <row r="16" spans="1:25" ht="15">
      <c r="A16" s="2">
        <v>13</v>
      </c>
      <c r="B16" s="21" t="s">
        <v>55</v>
      </c>
      <c r="C16" s="10">
        <v>1</v>
      </c>
      <c r="D16" s="10" t="s">
        <v>56</v>
      </c>
      <c r="E16" s="21">
        <v>400</v>
      </c>
      <c r="F16" s="21">
        <v>560</v>
      </c>
      <c r="G16" s="10">
        <v>20</v>
      </c>
      <c r="H16" s="27"/>
      <c r="I16" s="27"/>
      <c r="J16" s="10" t="s">
        <v>59</v>
      </c>
      <c r="K16" s="21">
        <v>100</v>
      </c>
      <c r="L16" s="21">
        <v>5</v>
      </c>
      <c r="M16" s="21">
        <v>21.5</v>
      </c>
      <c r="N16" s="13" t="s">
        <v>64</v>
      </c>
      <c r="O16" s="10">
        <f>M16*$X$7/1000000</f>
        <v>0.25197999999999998</v>
      </c>
      <c r="P16" s="21">
        <v>0</v>
      </c>
      <c r="Q16" s="21">
        <v>0</v>
      </c>
      <c r="R16" s="10">
        <f>10/L16/K16</f>
        <v>0.02</v>
      </c>
      <c r="S16" s="10">
        <f>7/L16/K16</f>
        <v>1.3999999999999999E-2</v>
      </c>
      <c r="T16" s="32"/>
      <c r="U16" s="22">
        <f>(O16+R16+S16)*K16/$T$3</f>
        <v>4.2683582089552239</v>
      </c>
      <c r="V16" s="22">
        <v>5.1259999999999994</v>
      </c>
      <c r="W16" s="4">
        <f>U16/V16</f>
        <v>0.8326879065460836</v>
      </c>
    </row>
    <row r="17" spans="1:23" ht="13.9" customHeight="1">
      <c r="A17" s="2">
        <v>14</v>
      </c>
      <c r="B17" s="21" t="s">
        <v>43</v>
      </c>
      <c r="C17" s="10">
        <v>1</v>
      </c>
      <c r="D17" s="10" t="s">
        <v>28</v>
      </c>
      <c r="E17" s="21">
        <v>50</v>
      </c>
      <c r="F17" s="21">
        <v>70</v>
      </c>
      <c r="G17" s="10">
        <v>20</v>
      </c>
      <c r="H17" s="27" t="s">
        <v>35</v>
      </c>
      <c r="I17" s="27">
        <v>0.04</v>
      </c>
      <c r="J17" s="10" t="s">
        <v>59</v>
      </c>
      <c r="K17" s="21">
        <v>300</v>
      </c>
      <c r="L17" s="21">
        <v>70</v>
      </c>
      <c r="M17" s="21">
        <v>0.44</v>
      </c>
      <c r="N17" s="13" t="s">
        <v>64</v>
      </c>
      <c r="O17" s="10">
        <f>M17*$X$7/1000000</f>
        <v>5.1568000000000004E-3</v>
      </c>
      <c r="P17" s="10">
        <f>18*45/800000</f>
        <v>1.0124999999999999E-3</v>
      </c>
      <c r="Q17" s="10">
        <f>260/(100000/E17*1000)</f>
        <v>1.2999999999999999E-4</v>
      </c>
      <c r="R17" s="10">
        <f>10/L17/K17</f>
        <v>4.7619047619047619E-4</v>
      </c>
      <c r="S17" s="10">
        <f>7/L17/K17</f>
        <v>3.3333333333333338E-4</v>
      </c>
      <c r="T17" s="32"/>
      <c r="U17" s="22">
        <f>(O17+R17+S17+Q17+P17)*K17/$T$3</f>
        <v>0.31830554371002134</v>
      </c>
      <c r="V17" s="22">
        <v>0.50585714285714278</v>
      </c>
      <c r="W17" s="4">
        <f>U17/V17</f>
        <v>0.62923999038976275</v>
      </c>
    </row>
    <row r="18" spans="1:23" ht="13.9" customHeight="1">
      <c r="A18" s="2">
        <v>15</v>
      </c>
      <c r="B18" s="21" t="s">
        <v>44</v>
      </c>
      <c r="C18" s="10">
        <v>1</v>
      </c>
      <c r="D18" s="10" t="s">
        <v>28</v>
      </c>
      <c r="E18" s="21">
        <v>60</v>
      </c>
      <c r="F18" s="21">
        <v>85</v>
      </c>
      <c r="G18" s="10">
        <v>20</v>
      </c>
      <c r="H18" s="27"/>
      <c r="I18" s="27"/>
      <c r="J18" s="10" t="s">
        <v>59</v>
      </c>
      <c r="K18" s="21">
        <v>300</v>
      </c>
      <c r="L18" s="21">
        <v>50</v>
      </c>
      <c r="M18" s="21">
        <v>0.57999999999999996</v>
      </c>
      <c r="N18" s="13" t="s">
        <v>64</v>
      </c>
      <c r="O18" s="10">
        <f>M18*$X$7/1000000</f>
        <v>6.7975999999999991E-3</v>
      </c>
      <c r="P18" s="10">
        <f>18*45/800000</f>
        <v>1.0124999999999999E-3</v>
      </c>
      <c r="Q18" s="10">
        <f>260/(100000/E18*1000)</f>
        <v>1.56E-4</v>
      </c>
      <c r="R18" s="10">
        <f>10/L18/K18</f>
        <v>6.6666666666666675E-4</v>
      </c>
      <c r="S18" s="10">
        <f>7/L18/K18</f>
        <v>4.6666666666666672E-4</v>
      </c>
      <c r="T18" s="32"/>
      <c r="U18" s="22">
        <f>(O18+R18+S18+Q18+P18)*K18/$T$3</f>
        <v>0.40743731343283579</v>
      </c>
      <c r="V18" s="22">
        <v>0.59599999999999997</v>
      </c>
      <c r="W18" s="4">
        <f>U18/V18</f>
        <v>0.68361965341079833</v>
      </c>
    </row>
    <row r="19" spans="1:23" ht="13.9" customHeight="1">
      <c r="A19" s="2">
        <v>16</v>
      </c>
      <c r="B19" s="21" t="s">
        <v>45</v>
      </c>
      <c r="C19" s="10">
        <v>1</v>
      </c>
      <c r="D19" s="10" t="s">
        <v>28</v>
      </c>
      <c r="E19" s="21">
        <v>70</v>
      </c>
      <c r="F19" s="21">
        <v>100</v>
      </c>
      <c r="G19" s="10">
        <v>20</v>
      </c>
      <c r="H19" s="27"/>
      <c r="I19" s="27"/>
      <c r="J19" s="10" t="s">
        <v>59</v>
      </c>
      <c r="K19" s="21">
        <v>200</v>
      </c>
      <c r="L19" s="21">
        <v>65</v>
      </c>
      <c r="M19" s="21">
        <v>0.76</v>
      </c>
      <c r="N19" s="13" t="s">
        <v>64</v>
      </c>
      <c r="O19" s="10">
        <f>M19*$X$7/1000000</f>
        <v>8.9072000000000005E-3</v>
      </c>
      <c r="P19" s="10">
        <f>18*45/700000</f>
        <v>1.1571428571428572E-3</v>
      </c>
      <c r="Q19" s="10">
        <f>260/(100000/E19*1000)</f>
        <v>1.8199999999999998E-4</v>
      </c>
      <c r="R19" s="10">
        <f>10/L19/K19</f>
        <v>7.6923076923076923E-4</v>
      </c>
      <c r="S19" s="10">
        <f>7/L19/K19</f>
        <v>5.3846153846153844E-4</v>
      </c>
      <c r="T19" s="32"/>
      <c r="U19" s="22">
        <f>(O19+R19+S19+Q19+P19)*K19/$T$3</f>
        <v>0.34489657208463176</v>
      </c>
      <c r="V19" s="22">
        <v>0.50646153846153852</v>
      </c>
      <c r="W19" s="4">
        <f>U19/V19</f>
        <v>0.68099262410392047</v>
      </c>
    </row>
    <row r="20" spans="1:23" ht="13.9" customHeight="1">
      <c r="A20" s="2">
        <v>17</v>
      </c>
      <c r="B20" s="21" t="s">
        <v>46</v>
      </c>
      <c r="C20" s="10">
        <v>1</v>
      </c>
      <c r="D20" s="10" t="s">
        <v>28</v>
      </c>
      <c r="E20" s="21">
        <v>85</v>
      </c>
      <c r="F20" s="21">
        <v>120</v>
      </c>
      <c r="G20" s="10">
        <v>20</v>
      </c>
      <c r="H20" s="27"/>
      <c r="I20" s="27"/>
      <c r="J20" s="10" t="s">
        <v>59</v>
      </c>
      <c r="K20" s="21">
        <v>200</v>
      </c>
      <c r="L20" s="21">
        <v>50</v>
      </c>
      <c r="M20" s="21">
        <v>1.07</v>
      </c>
      <c r="N20" s="13" t="s">
        <v>64</v>
      </c>
      <c r="O20" s="10">
        <f>M20*$X$7/1000000</f>
        <v>1.2540400000000002E-2</v>
      </c>
      <c r="P20" s="10">
        <f>18*45/600000</f>
        <v>1.3500000000000001E-3</v>
      </c>
      <c r="Q20" s="10">
        <f>260/(100000/E20*1000)</f>
        <v>2.2099999999999998E-4</v>
      </c>
      <c r="R20" s="10">
        <f>10/L20/K20</f>
        <v>1E-3</v>
      </c>
      <c r="S20" s="10">
        <f>7/L20/K20</f>
        <v>7.000000000000001E-4</v>
      </c>
      <c r="T20" s="32"/>
      <c r="U20" s="22">
        <f>(O20+R20+S20+Q20+P20)*K20/$T$3</f>
        <v>0.4719820895522388</v>
      </c>
      <c r="V20" s="22">
        <v>0.67079999999999995</v>
      </c>
      <c r="W20" s="4">
        <f>U20/V20</f>
        <v>0.70361074769266374</v>
      </c>
    </row>
    <row r="21" spans="1:23" ht="13.9" customHeight="1">
      <c r="A21" s="2">
        <v>18</v>
      </c>
      <c r="B21" s="21" t="s">
        <v>47</v>
      </c>
      <c r="C21" s="10">
        <v>1</v>
      </c>
      <c r="D21" s="10" t="s">
        <v>28</v>
      </c>
      <c r="E21" s="21">
        <v>100</v>
      </c>
      <c r="F21" s="21">
        <v>140</v>
      </c>
      <c r="G21" s="10">
        <v>20</v>
      </c>
      <c r="H21" s="27"/>
      <c r="I21" s="27"/>
      <c r="J21" s="10" t="s">
        <v>59</v>
      </c>
      <c r="K21" s="21">
        <v>200</v>
      </c>
      <c r="L21" s="21">
        <v>40</v>
      </c>
      <c r="M21" s="21">
        <v>1.46</v>
      </c>
      <c r="N21" s="13" t="s">
        <v>64</v>
      </c>
      <c r="O21" s="10">
        <f>M21*$X$7/1000000</f>
        <v>1.71112E-2</v>
      </c>
      <c r="P21" s="10">
        <f>18*45/500000</f>
        <v>1.6199999999999999E-3</v>
      </c>
      <c r="Q21" s="10">
        <f>260/(100000/E21*1000)</f>
        <v>2.5999999999999998E-4</v>
      </c>
      <c r="R21" s="10">
        <f>10/L21/K21</f>
        <v>1.25E-3</v>
      </c>
      <c r="S21" s="10">
        <f>7/L21/K21</f>
        <v>8.7499999999999991E-4</v>
      </c>
      <c r="T21" s="32"/>
      <c r="U21" s="22">
        <f>(O21+R21+S21+Q21+P21)*K21/$T$3</f>
        <v>0.63033432835820902</v>
      </c>
      <c r="V21" s="22">
        <v>0.85675000000000012</v>
      </c>
      <c r="W21" s="4">
        <f>U21/V21</f>
        <v>0.73572725807786277</v>
      </c>
    </row>
    <row r="22" spans="1:23" ht="13.9" customHeight="1">
      <c r="A22" s="2">
        <v>19</v>
      </c>
      <c r="B22" s="21" t="s">
        <v>48</v>
      </c>
      <c r="C22" s="10">
        <v>1</v>
      </c>
      <c r="D22" s="10" t="s">
        <v>28</v>
      </c>
      <c r="E22" s="21">
        <v>120</v>
      </c>
      <c r="F22" s="21">
        <v>170</v>
      </c>
      <c r="G22" s="10">
        <v>20</v>
      </c>
      <c r="H22" s="27"/>
      <c r="I22" s="27"/>
      <c r="J22" s="10" t="s">
        <v>59</v>
      </c>
      <c r="K22" s="21">
        <v>100</v>
      </c>
      <c r="L22" s="21">
        <v>60</v>
      </c>
      <c r="M22" s="21">
        <v>2.1</v>
      </c>
      <c r="N22" s="13" t="s">
        <v>64</v>
      </c>
      <c r="O22" s="10">
        <f>M22*$X$7/1000000</f>
        <v>2.4611999999999998E-2</v>
      </c>
      <c r="P22" s="10">
        <f>18*45/400000</f>
        <v>2.0249999999999999E-3</v>
      </c>
      <c r="Q22" s="10">
        <f>260/(100000/E22*1000)</f>
        <v>3.1199999999999999E-4</v>
      </c>
      <c r="R22" s="10">
        <f>10/L22/K22</f>
        <v>1.6666666666666666E-3</v>
      </c>
      <c r="S22" s="10">
        <f>7/L22/K22</f>
        <v>1.1666666666666668E-3</v>
      </c>
      <c r="T22" s="32"/>
      <c r="U22" s="22">
        <f>(O22+R22+S22+Q22+P22)*K22/$T$3</f>
        <v>0.44451243781094524</v>
      </c>
      <c r="V22" s="22">
        <v>0.60266666666666657</v>
      </c>
      <c r="W22" s="4">
        <f>U22/V22</f>
        <v>0.73757594769515256</v>
      </c>
    </row>
    <row r="23" spans="1:23" ht="13.9" customHeight="1">
      <c r="A23" s="2">
        <v>20</v>
      </c>
      <c r="B23" s="21" t="s">
        <v>49</v>
      </c>
      <c r="C23" s="10">
        <v>1</v>
      </c>
      <c r="D23" s="10" t="s">
        <v>28</v>
      </c>
      <c r="E23" s="21">
        <v>140</v>
      </c>
      <c r="F23" s="21">
        <v>200</v>
      </c>
      <c r="G23" s="10">
        <v>20</v>
      </c>
      <c r="H23" s="27"/>
      <c r="I23" s="27"/>
      <c r="J23" s="10" t="s">
        <v>59</v>
      </c>
      <c r="K23" s="21">
        <v>100</v>
      </c>
      <c r="L23" s="21">
        <v>50</v>
      </c>
      <c r="M23" s="21">
        <v>2.89</v>
      </c>
      <c r="N23" s="13" t="s">
        <v>64</v>
      </c>
      <c r="O23" s="10">
        <f>M23*$X$7/1000000</f>
        <v>3.38708E-2</v>
      </c>
      <c r="P23" s="10">
        <f>18*45/300000</f>
        <v>2.7000000000000001E-3</v>
      </c>
      <c r="Q23" s="10">
        <f>260/(100000/E23*1000)</f>
        <v>3.6399999999999996E-4</v>
      </c>
      <c r="R23" s="10">
        <f>10/L23/K23</f>
        <v>2E-3</v>
      </c>
      <c r="S23" s="10">
        <f>7/L23/K23</f>
        <v>1.4000000000000002E-3</v>
      </c>
      <c r="T23" s="32"/>
      <c r="U23" s="22">
        <f>(O23+R23+S23+Q23+P23)*K23/$T$3</f>
        <v>0.60201194029850758</v>
      </c>
      <c r="V23" s="22">
        <v>0.77260000000000006</v>
      </c>
      <c r="W23" s="4">
        <f>U23/V23</f>
        <v>0.77920261493464604</v>
      </c>
    </row>
    <row r="24" spans="1:23" ht="13.9" customHeight="1">
      <c r="A24" s="2">
        <v>21</v>
      </c>
      <c r="B24" s="21" t="s">
        <v>50</v>
      </c>
      <c r="C24" s="10">
        <v>1</v>
      </c>
      <c r="D24" s="10" t="s">
        <v>28</v>
      </c>
      <c r="E24" s="21">
        <v>170</v>
      </c>
      <c r="F24" s="21">
        <v>240</v>
      </c>
      <c r="G24" s="10">
        <v>20</v>
      </c>
      <c r="H24" s="27"/>
      <c r="I24" s="27"/>
      <c r="J24" s="10" t="s">
        <v>59</v>
      </c>
      <c r="K24" s="21">
        <v>100</v>
      </c>
      <c r="L24" s="21">
        <v>35</v>
      </c>
      <c r="M24" s="21">
        <v>4.16</v>
      </c>
      <c r="N24" s="13" t="s">
        <v>64</v>
      </c>
      <c r="O24" s="10">
        <f>M24*$X$7/1000000</f>
        <v>4.8755200000000005E-2</v>
      </c>
      <c r="P24" s="10">
        <f>18*45/250000</f>
        <v>3.2399999999999998E-3</v>
      </c>
      <c r="Q24" s="10">
        <f>260/(100000/E24*1000)</f>
        <v>4.4199999999999996E-4</v>
      </c>
      <c r="R24" s="10">
        <f>10/L24/K24</f>
        <v>2.8571428571428571E-3</v>
      </c>
      <c r="S24" s="10">
        <f>7/L24/K24</f>
        <v>2E-3</v>
      </c>
      <c r="T24" s="32"/>
      <c r="U24" s="22">
        <f>(O24+R24+S24+Q24+P24)*K24/$T$3</f>
        <v>0.85513944562899791</v>
      </c>
      <c r="V24" s="22">
        <v>1.0702857142857143</v>
      </c>
      <c r="W24" s="4">
        <f>U24/V24</f>
        <v>0.79898239714401831</v>
      </c>
    </row>
    <row r="25" spans="1:23" ht="13.9" customHeight="1">
      <c r="A25" s="2">
        <v>22</v>
      </c>
      <c r="B25" s="21" t="s">
        <v>51</v>
      </c>
      <c r="C25" s="10">
        <v>1</v>
      </c>
      <c r="D25" s="10" t="s">
        <v>28</v>
      </c>
      <c r="E25" s="21">
        <v>200</v>
      </c>
      <c r="F25" s="21">
        <v>280</v>
      </c>
      <c r="G25" s="10">
        <v>20</v>
      </c>
      <c r="H25" s="27"/>
      <c r="I25" s="27"/>
      <c r="J25" s="10" t="s">
        <v>59</v>
      </c>
      <c r="K25" s="21">
        <v>100</v>
      </c>
      <c r="L25" s="21">
        <v>25</v>
      </c>
      <c r="M25" s="21">
        <v>5.66</v>
      </c>
      <c r="N25" s="13" t="s">
        <v>64</v>
      </c>
      <c r="O25" s="10">
        <f>M25*$X$7/1000000</f>
        <v>6.6335199999999997E-2</v>
      </c>
      <c r="P25" s="10">
        <f>18*45/200000</f>
        <v>4.0499999999999998E-3</v>
      </c>
      <c r="Q25" s="10">
        <f>300/(100000/E25*1000)</f>
        <v>5.9999999999999995E-4</v>
      </c>
      <c r="R25" s="10">
        <f>10/L25/K25</f>
        <v>4.0000000000000001E-3</v>
      </c>
      <c r="S25" s="10">
        <f>7/L25/K25</f>
        <v>2.8000000000000004E-3</v>
      </c>
      <c r="T25" s="32"/>
      <c r="U25" s="22">
        <f>(O25+R25+S25+Q25+P25)*K25/$T$3</f>
        <v>1.1609731343283582</v>
      </c>
      <c r="V25" s="22">
        <v>1.496</v>
      </c>
      <c r="W25" s="4">
        <f>U25/V25</f>
        <v>0.77605156037991863</v>
      </c>
    </row>
    <row r="26" spans="1:23" ht="13.9" customHeight="1">
      <c r="A26" s="2">
        <v>23</v>
      </c>
      <c r="B26" s="21" t="s">
        <v>52</v>
      </c>
      <c r="C26" s="10">
        <v>1</v>
      </c>
      <c r="D26" s="10" t="s">
        <v>28</v>
      </c>
      <c r="E26" s="21">
        <v>240</v>
      </c>
      <c r="F26" s="21">
        <v>340</v>
      </c>
      <c r="G26" s="10">
        <v>20</v>
      </c>
      <c r="H26" s="27"/>
      <c r="I26" s="27"/>
      <c r="J26" s="10" t="s">
        <v>59</v>
      </c>
      <c r="K26" s="21">
        <v>100</v>
      </c>
      <c r="L26" s="21">
        <v>15</v>
      </c>
      <c r="M26" s="21">
        <v>7.9</v>
      </c>
      <c r="N26" s="13" t="s">
        <v>64</v>
      </c>
      <c r="O26" s="10">
        <f>M26*$X$7/1000000</f>
        <v>9.2588000000000004E-2</v>
      </c>
      <c r="P26" s="10">
        <f>18*45/180000</f>
        <v>4.4999999999999997E-3</v>
      </c>
      <c r="Q26" s="10">
        <f>380/(100000/E26*1000)</f>
        <v>9.1199999999999994E-4</v>
      </c>
      <c r="R26" s="10">
        <f>10/L26/K26</f>
        <v>6.6666666666666662E-3</v>
      </c>
      <c r="S26" s="10">
        <f>7/L26/K26</f>
        <v>4.6666666666666671E-3</v>
      </c>
      <c r="T26" s="32"/>
      <c r="U26" s="22">
        <f>(O26+R26+S26+Q26+P26)*K26/$T$3</f>
        <v>1.6318407960199004</v>
      </c>
      <c r="V26" s="22">
        <v>2.1333333333333333</v>
      </c>
      <c r="W26" s="4">
        <f>U26/V26</f>
        <v>0.76492537313432829</v>
      </c>
    </row>
    <row r="27" spans="1:23" ht="13.9" customHeight="1">
      <c r="A27" s="2">
        <v>24</v>
      </c>
      <c r="B27" s="21" t="s">
        <v>53</v>
      </c>
      <c r="C27" s="10">
        <v>1</v>
      </c>
      <c r="D27" s="10" t="s">
        <v>28</v>
      </c>
      <c r="E27" s="21">
        <v>280</v>
      </c>
      <c r="F27" s="21">
        <v>400</v>
      </c>
      <c r="G27" s="10">
        <v>20</v>
      </c>
      <c r="H27" s="27"/>
      <c r="I27" s="27"/>
      <c r="J27" s="10" t="s">
        <v>59</v>
      </c>
      <c r="K27" s="21">
        <v>100</v>
      </c>
      <c r="L27" s="21">
        <v>15</v>
      </c>
      <c r="M27" s="21">
        <v>10.81</v>
      </c>
      <c r="N27" s="13" t="s">
        <v>64</v>
      </c>
      <c r="O27" s="10">
        <f>M27*$X$7/1000000</f>
        <v>0.12669320000000001</v>
      </c>
      <c r="P27" s="10">
        <f>18*45/160000</f>
        <v>5.0625000000000002E-3</v>
      </c>
      <c r="Q27" s="10">
        <f>400/(100000/E27*1000)</f>
        <v>1.1199999999999999E-3</v>
      </c>
      <c r="R27" s="10">
        <f>10/L27/K27</f>
        <v>6.6666666666666662E-3</v>
      </c>
      <c r="S27" s="10">
        <f>7/L27/K27</f>
        <v>4.6666666666666671E-3</v>
      </c>
      <c r="T27" s="32"/>
      <c r="U27" s="22">
        <f>(O27+R27+S27+Q27+P27)*K27/$T$3</f>
        <v>2.1523736318407964</v>
      </c>
      <c r="V27" s="22">
        <v>2.83</v>
      </c>
      <c r="W27" s="4">
        <f>U27/V27</f>
        <v>0.7605560536539917</v>
      </c>
    </row>
    <row r="28" spans="1:23" ht="13.9" customHeight="1">
      <c r="A28" s="2">
        <v>25</v>
      </c>
      <c r="B28" s="21" t="s">
        <v>54</v>
      </c>
      <c r="C28" s="10">
        <v>1</v>
      </c>
      <c r="D28" s="10" t="s">
        <v>28</v>
      </c>
      <c r="E28" s="21">
        <v>340</v>
      </c>
      <c r="F28" s="21">
        <v>480</v>
      </c>
      <c r="G28" s="10">
        <v>20</v>
      </c>
      <c r="H28" s="27"/>
      <c r="I28" s="27"/>
      <c r="J28" s="10" t="s">
        <v>59</v>
      </c>
      <c r="K28" s="21">
        <v>100</v>
      </c>
      <c r="L28" s="21">
        <v>10</v>
      </c>
      <c r="M28" s="21">
        <v>15.64</v>
      </c>
      <c r="N28" s="13" t="s">
        <v>64</v>
      </c>
      <c r="O28" s="10">
        <f>M28*$X$7/1000000</f>
        <v>0.18330080000000001</v>
      </c>
      <c r="P28" s="10">
        <f>18*45/140000</f>
        <v>5.7857142857142855E-3</v>
      </c>
      <c r="Q28" s="10">
        <f>420/(100000/E28*1000)</f>
        <v>1.4279999999999998E-3</v>
      </c>
      <c r="R28" s="10">
        <f>10/L28/K28</f>
        <v>0.01</v>
      </c>
      <c r="S28" s="10">
        <f>7/L28/K28</f>
        <v>6.9999999999999993E-3</v>
      </c>
      <c r="T28" s="32"/>
      <c r="U28" s="22">
        <f>(O28+R28+S28+Q28+P28)*K28/$T$3</f>
        <v>3.0972315565031989</v>
      </c>
      <c r="V28" s="22">
        <v>4.0549999999999997</v>
      </c>
      <c r="W28" s="4">
        <f>U28/V28</f>
        <v>0.76380556263950661</v>
      </c>
    </row>
    <row r="29" spans="1:23" ht="13.9" customHeight="1">
      <c r="A29" s="2">
        <v>26</v>
      </c>
      <c r="B29" s="21" t="s">
        <v>55</v>
      </c>
      <c r="C29" s="10">
        <v>1</v>
      </c>
      <c r="D29" s="10" t="s">
        <v>28</v>
      </c>
      <c r="E29" s="21">
        <v>400</v>
      </c>
      <c r="F29" s="21">
        <v>560</v>
      </c>
      <c r="G29" s="10">
        <v>20</v>
      </c>
      <c r="H29" s="27"/>
      <c r="I29" s="27"/>
      <c r="J29" s="10" t="s">
        <v>59</v>
      </c>
      <c r="K29" s="21">
        <v>100</v>
      </c>
      <c r="L29" s="21">
        <v>5</v>
      </c>
      <c r="M29" s="21">
        <v>21.5</v>
      </c>
      <c r="N29" s="13" t="s">
        <v>64</v>
      </c>
      <c r="O29" s="10">
        <f>M29*$X$7/1000000</f>
        <v>0.25197999999999998</v>
      </c>
      <c r="P29" s="10">
        <f>18*45/120000</f>
        <v>6.7499999999999999E-3</v>
      </c>
      <c r="Q29" s="10">
        <f>440/(100000/E29*1000)</f>
        <v>1.7600000000000001E-3</v>
      </c>
      <c r="R29" s="10">
        <f>10/L29/K29</f>
        <v>0.02</v>
      </c>
      <c r="S29" s="10">
        <f>7/L29/K29</f>
        <v>1.3999999999999999E-2</v>
      </c>
      <c r="T29" s="32"/>
      <c r="U29" s="22">
        <f>(O29+R29+S29+Q29+P29)*K29/$T$3</f>
        <v>4.3953731343283575</v>
      </c>
      <c r="V29" s="22">
        <v>5.5640000000000001</v>
      </c>
      <c r="W29" s="4">
        <f>U29/V29</f>
        <v>0.78996641522795785</v>
      </c>
    </row>
    <row r="30" spans="1:23" ht="15">
      <c r="A30" s="2">
        <v>27</v>
      </c>
      <c r="B30" s="21" t="s">
        <v>43</v>
      </c>
      <c r="C30" s="10">
        <v>1</v>
      </c>
      <c r="D30" s="10" t="s">
        <v>56</v>
      </c>
      <c r="E30" s="21">
        <v>50</v>
      </c>
      <c r="F30" s="21">
        <v>70</v>
      </c>
      <c r="G30" s="10">
        <v>20</v>
      </c>
      <c r="H30" s="31" t="s">
        <v>35</v>
      </c>
      <c r="I30" s="31">
        <v>0.08</v>
      </c>
      <c r="J30" s="10" t="s">
        <v>59</v>
      </c>
      <c r="K30" s="21">
        <v>100</v>
      </c>
      <c r="L30" s="21">
        <v>130</v>
      </c>
      <c r="M30" s="23">
        <v>0.84</v>
      </c>
      <c r="N30" s="13" t="s">
        <v>64</v>
      </c>
      <c r="O30" s="10">
        <f>M30*$X$7/1000000</f>
        <v>9.844799999999999E-3</v>
      </c>
      <c r="P30" s="21">
        <v>0</v>
      </c>
      <c r="Q30" s="21">
        <v>0</v>
      </c>
      <c r="R30" s="10">
        <f>10/L30/K30</f>
        <v>7.6923076923076923E-4</v>
      </c>
      <c r="S30" s="10">
        <f>7/L30/K30</f>
        <v>5.3846153846153844E-4</v>
      </c>
      <c r="T30" s="32"/>
      <c r="U30" s="22">
        <f>(O30+R30+S30)*K30/$T$3</f>
        <v>0.16645510907003441</v>
      </c>
      <c r="V30" s="24">
        <v>0.29161538461538461</v>
      </c>
      <c r="W30" s="4">
        <f>U30/V30</f>
        <v>0.57080359216841137</v>
      </c>
    </row>
    <row r="31" spans="1:23" ht="15">
      <c r="A31" s="2">
        <v>28</v>
      </c>
      <c r="B31" s="21" t="s">
        <v>44</v>
      </c>
      <c r="C31" s="10">
        <v>1</v>
      </c>
      <c r="D31" s="10" t="s">
        <v>56</v>
      </c>
      <c r="E31" s="21">
        <v>60</v>
      </c>
      <c r="F31" s="21">
        <v>85</v>
      </c>
      <c r="G31" s="10">
        <v>20</v>
      </c>
      <c r="H31" s="31"/>
      <c r="I31" s="31"/>
      <c r="J31" s="10" t="s">
        <v>59</v>
      </c>
      <c r="K31" s="21">
        <v>100</v>
      </c>
      <c r="L31" s="21">
        <v>90</v>
      </c>
      <c r="M31" s="23">
        <v>1.18</v>
      </c>
      <c r="N31" s="13" t="s">
        <v>64</v>
      </c>
      <c r="O31" s="10">
        <f>M31*$X$7/1000000</f>
        <v>1.3829599999999999E-2</v>
      </c>
      <c r="P31" s="21">
        <v>0</v>
      </c>
      <c r="Q31" s="21">
        <v>0</v>
      </c>
      <c r="R31" s="10">
        <f>10/L31/K31</f>
        <v>1.1111111111111111E-3</v>
      </c>
      <c r="S31" s="10">
        <f>7/L31/K31</f>
        <v>7.7777777777777784E-4</v>
      </c>
      <c r="T31" s="32"/>
      <c r="U31" s="22">
        <f>(O31+R31+S31)*K31/$T$3</f>
        <v>0.23460431177446101</v>
      </c>
      <c r="V31" s="24">
        <v>0.34355555555555556</v>
      </c>
      <c r="W31" s="4">
        <f>U31/V31</f>
        <v>0.68287154138749973</v>
      </c>
    </row>
    <row r="32" spans="1:23" ht="15">
      <c r="A32" s="2">
        <v>29</v>
      </c>
      <c r="B32" s="21" t="s">
        <v>45</v>
      </c>
      <c r="C32" s="10">
        <v>1</v>
      </c>
      <c r="D32" s="10" t="s">
        <v>56</v>
      </c>
      <c r="E32" s="21">
        <v>70</v>
      </c>
      <c r="F32" s="21">
        <v>100</v>
      </c>
      <c r="G32" s="10">
        <v>20</v>
      </c>
      <c r="H32" s="31"/>
      <c r="I32" s="31"/>
      <c r="J32" s="10" t="s">
        <v>59</v>
      </c>
      <c r="K32" s="21">
        <v>100</v>
      </c>
      <c r="L32" s="21">
        <v>70</v>
      </c>
      <c r="M32" s="23">
        <v>1.53</v>
      </c>
      <c r="N32" s="13" t="s">
        <v>64</v>
      </c>
      <c r="O32" s="10">
        <f>M32*$X$7/1000000</f>
        <v>1.7931599999999999E-2</v>
      </c>
      <c r="P32" s="21">
        <v>0</v>
      </c>
      <c r="Q32" s="21">
        <v>0</v>
      </c>
      <c r="R32" s="10">
        <f>10/L32/K32</f>
        <v>1.4285714285714286E-3</v>
      </c>
      <c r="S32" s="10">
        <f>7/L32/K32</f>
        <v>1E-3</v>
      </c>
      <c r="T32" s="32"/>
      <c r="U32" s="22">
        <f>(O32+R32+S32)*K32/$T$3</f>
        <v>0.30388315565031981</v>
      </c>
      <c r="V32" s="24">
        <v>0.43457142857142861</v>
      </c>
      <c r="W32" s="4">
        <f>U32/V32</f>
        <v>0.69927090386332624</v>
      </c>
    </row>
    <row r="33" spans="1:23" ht="15">
      <c r="A33" s="2">
        <v>30</v>
      </c>
      <c r="B33" s="21" t="s">
        <v>46</v>
      </c>
      <c r="C33" s="10">
        <v>1</v>
      </c>
      <c r="D33" s="10" t="s">
        <v>56</v>
      </c>
      <c r="E33" s="21">
        <v>85</v>
      </c>
      <c r="F33" s="21">
        <v>120</v>
      </c>
      <c r="G33" s="10">
        <v>20</v>
      </c>
      <c r="H33" s="31"/>
      <c r="I33" s="31"/>
      <c r="J33" s="10" t="s">
        <v>59</v>
      </c>
      <c r="K33" s="21">
        <v>100</v>
      </c>
      <c r="L33" s="21">
        <v>60</v>
      </c>
      <c r="M33" s="23">
        <v>2.12</v>
      </c>
      <c r="N33" s="13" t="s">
        <v>64</v>
      </c>
      <c r="O33" s="10">
        <f>M33*$X$7/1000000</f>
        <v>2.4846400000000001E-2</v>
      </c>
      <c r="P33" s="21">
        <v>0</v>
      </c>
      <c r="Q33" s="21">
        <v>0</v>
      </c>
      <c r="R33" s="10">
        <f>10/L33/K33</f>
        <v>1.6666666666666666E-3</v>
      </c>
      <c r="S33" s="10">
        <f>7/L33/K33</f>
        <v>1.1666666666666668E-3</v>
      </c>
      <c r="T33" s="32"/>
      <c r="U33" s="22">
        <f>(O33+R33+S33)*K33/$T$3</f>
        <v>0.41313034825870648</v>
      </c>
      <c r="V33" s="24">
        <v>0.58250000000000002</v>
      </c>
      <c r="W33" s="4">
        <f>U33/V33</f>
        <v>0.70923664937116992</v>
      </c>
    </row>
    <row r="34" spans="1:23" ht="15">
      <c r="A34" s="2">
        <v>31</v>
      </c>
      <c r="B34" s="21" t="s">
        <v>47</v>
      </c>
      <c r="C34" s="10">
        <v>1</v>
      </c>
      <c r="D34" s="10" t="s">
        <v>56</v>
      </c>
      <c r="E34" s="21">
        <v>100</v>
      </c>
      <c r="F34" s="21">
        <v>140</v>
      </c>
      <c r="G34" s="10">
        <v>20</v>
      </c>
      <c r="H34" s="31"/>
      <c r="I34" s="31"/>
      <c r="J34" s="10" t="s">
        <v>59</v>
      </c>
      <c r="K34" s="21">
        <v>100</v>
      </c>
      <c r="L34" s="21">
        <v>40</v>
      </c>
      <c r="M34" s="23">
        <v>2.91</v>
      </c>
      <c r="N34" s="13" t="s">
        <v>64</v>
      </c>
      <c r="O34" s="10">
        <f>M34*$X$7/1000000</f>
        <v>3.4105200000000002E-2</v>
      </c>
      <c r="P34" s="21">
        <v>0</v>
      </c>
      <c r="Q34" s="21">
        <v>0</v>
      </c>
      <c r="R34" s="10">
        <f>10/L34/K34</f>
        <v>2.5000000000000001E-3</v>
      </c>
      <c r="S34" s="10">
        <f>7/L34/K34</f>
        <v>1.7499999999999998E-3</v>
      </c>
      <c r="T34" s="32"/>
      <c r="U34" s="22">
        <f>(O34+R34+S34)*K34/$T$3</f>
        <v>0.57246567164179119</v>
      </c>
      <c r="V34" s="24">
        <v>0.74124999999999996</v>
      </c>
      <c r="W34" s="4">
        <f>U34/V34</f>
        <v>0.77229770204626136</v>
      </c>
    </row>
    <row r="35" spans="1:23" ht="15">
      <c r="A35" s="2">
        <v>32</v>
      </c>
      <c r="B35" s="21" t="s">
        <v>48</v>
      </c>
      <c r="C35" s="10">
        <v>1</v>
      </c>
      <c r="D35" s="10" t="s">
        <v>56</v>
      </c>
      <c r="E35" s="21">
        <v>120</v>
      </c>
      <c r="F35" s="21">
        <v>170</v>
      </c>
      <c r="G35" s="10">
        <v>20</v>
      </c>
      <c r="H35" s="31"/>
      <c r="I35" s="31"/>
      <c r="J35" s="10" t="s">
        <v>59</v>
      </c>
      <c r="K35" s="21">
        <v>100</v>
      </c>
      <c r="L35" s="21">
        <v>30</v>
      </c>
      <c r="M35" s="23">
        <v>4.0199999999999996</v>
      </c>
      <c r="N35" s="13" t="s">
        <v>64</v>
      </c>
      <c r="O35" s="10">
        <f>M35*$X$7/1000000</f>
        <v>4.7114399999999994E-2</v>
      </c>
      <c r="P35" s="21">
        <v>0</v>
      </c>
      <c r="Q35" s="21">
        <v>0</v>
      </c>
      <c r="R35" s="10">
        <f>10/L35/K35</f>
        <v>3.3333333333333331E-3</v>
      </c>
      <c r="S35" s="10">
        <f>7/L35/K35</f>
        <v>2.3333333333333335E-3</v>
      </c>
      <c r="T35" s="32"/>
      <c r="U35" s="22">
        <f>(O35+R35+S35)*K35/$T$3</f>
        <v>0.78777711442786058</v>
      </c>
      <c r="V35" s="24">
        <v>1.0256666666666667</v>
      </c>
      <c r="W35" s="4">
        <f>U35/V35</f>
        <v>0.76806348498003951</v>
      </c>
    </row>
    <row r="36" spans="1:23" ht="15">
      <c r="A36" s="2">
        <v>33</v>
      </c>
      <c r="B36" s="21" t="s">
        <v>49</v>
      </c>
      <c r="C36" s="10">
        <v>1</v>
      </c>
      <c r="D36" s="10" t="s">
        <v>56</v>
      </c>
      <c r="E36" s="21">
        <v>140</v>
      </c>
      <c r="F36" s="21">
        <v>200</v>
      </c>
      <c r="G36" s="10">
        <v>20</v>
      </c>
      <c r="H36" s="31"/>
      <c r="I36" s="31"/>
      <c r="J36" s="10" t="s">
        <v>59</v>
      </c>
      <c r="K36" s="21">
        <v>100</v>
      </c>
      <c r="L36" s="21">
        <v>25</v>
      </c>
      <c r="M36" s="23">
        <v>5.4</v>
      </c>
      <c r="N36" s="13" t="s">
        <v>64</v>
      </c>
      <c r="O36" s="10">
        <f>M36*$X$7/1000000</f>
        <v>6.3288000000000011E-2</v>
      </c>
      <c r="P36" s="21">
        <v>0</v>
      </c>
      <c r="Q36" s="21">
        <v>0</v>
      </c>
      <c r="R36" s="10">
        <f>10/L36/K36</f>
        <v>4.0000000000000001E-3</v>
      </c>
      <c r="S36" s="10">
        <f>7/L36/K36</f>
        <v>2.8000000000000004E-3</v>
      </c>
      <c r="T36" s="32"/>
      <c r="U36" s="22">
        <f>(O36+R36+S36)*K36/$T$3</f>
        <v>1.0460895522388061</v>
      </c>
      <c r="V36" s="24">
        <v>1.3792</v>
      </c>
      <c r="W36" s="4">
        <f>U36/V36</f>
        <v>0.75847560342140807</v>
      </c>
    </row>
    <row r="37" spans="1:23" ht="15">
      <c r="A37" s="2">
        <v>34</v>
      </c>
      <c r="B37" s="21" t="s">
        <v>50</v>
      </c>
      <c r="C37" s="10">
        <v>1</v>
      </c>
      <c r="D37" s="10" t="s">
        <v>56</v>
      </c>
      <c r="E37" s="21">
        <v>170</v>
      </c>
      <c r="F37" s="21">
        <v>240</v>
      </c>
      <c r="G37" s="10">
        <v>20</v>
      </c>
      <c r="H37" s="31"/>
      <c r="I37" s="31"/>
      <c r="J37" s="10" t="s">
        <v>59</v>
      </c>
      <c r="K37" s="21">
        <v>100</v>
      </c>
      <c r="L37" s="21">
        <v>18</v>
      </c>
      <c r="M37" s="23">
        <v>7.63</v>
      </c>
      <c r="N37" s="13" t="s">
        <v>64</v>
      </c>
      <c r="O37" s="10">
        <f>M37*$X$7/1000000</f>
        <v>8.9423600000000006E-2</v>
      </c>
      <c r="P37" s="21">
        <v>0</v>
      </c>
      <c r="Q37" s="21">
        <v>0</v>
      </c>
      <c r="R37" s="10">
        <f>10/L37/K37</f>
        <v>5.5555555555555558E-3</v>
      </c>
      <c r="S37" s="10">
        <f>7/L37/K37</f>
        <v>3.8888888888888888E-3</v>
      </c>
      <c r="T37" s="32"/>
      <c r="U37" s="22">
        <f>(O37+R37+S37)*K37/$T$3</f>
        <v>1.4756424543946931</v>
      </c>
      <c r="V37" s="24">
        <v>1.9205555555555556</v>
      </c>
      <c r="W37" s="4">
        <f>U37/V37</f>
        <v>0.76834145730704295</v>
      </c>
    </row>
    <row r="38" spans="1:23" ht="15">
      <c r="A38" s="2">
        <v>35</v>
      </c>
      <c r="B38" s="21" t="s">
        <v>51</v>
      </c>
      <c r="C38" s="10">
        <v>1</v>
      </c>
      <c r="D38" s="10" t="s">
        <v>56</v>
      </c>
      <c r="E38" s="21">
        <v>200</v>
      </c>
      <c r="F38" s="21">
        <v>280</v>
      </c>
      <c r="G38" s="10">
        <v>20</v>
      </c>
      <c r="H38" s="31"/>
      <c r="I38" s="31"/>
      <c r="J38" s="10" t="s">
        <v>59</v>
      </c>
      <c r="K38" s="21">
        <v>100</v>
      </c>
      <c r="L38" s="21">
        <v>12</v>
      </c>
      <c r="M38" s="23">
        <v>9.8000000000000007</v>
      </c>
      <c r="N38" s="13" t="s">
        <v>64</v>
      </c>
      <c r="O38" s="10">
        <f>M38*$X$7/1000000</f>
        <v>0.11485600000000001</v>
      </c>
      <c r="P38" s="21">
        <v>0</v>
      </c>
      <c r="Q38" s="21">
        <v>0</v>
      </c>
      <c r="R38" s="10">
        <f>10/L38/K38</f>
        <v>8.3333333333333332E-3</v>
      </c>
      <c r="S38" s="10">
        <f>7/L38/K38</f>
        <v>5.8333333333333336E-3</v>
      </c>
      <c r="T38" s="32"/>
      <c r="U38" s="22">
        <f>(O38+R38+S38)*K38/$T$3</f>
        <v>1.9257114427860698</v>
      </c>
      <c r="V38" s="24">
        <v>2.6558333333333333</v>
      </c>
      <c r="W38" s="4">
        <f>U38/V38</f>
        <v>0.72508745884633941</v>
      </c>
    </row>
    <row r="39" spans="1:23" ht="15">
      <c r="A39" s="2">
        <v>36</v>
      </c>
      <c r="B39" s="21" t="s">
        <v>52</v>
      </c>
      <c r="C39" s="10">
        <v>1</v>
      </c>
      <c r="D39" s="10" t="s">
        <v>56</v>
      </c>
      <c r="E39" s="21">
        <v>240</v>
      </c>
      <c r="F39" s="21">
        <v>340</v>
      </c>
      <c r="G39" s="10">
        <v>20</v>
      </c>
      <c r="H39" s="31"/>
      <c r="I39" s="31"/>
      <c r="J39" s="10" t="s">
        <v>59</v>
      </c>
      <c r="K39" s="21">
        <v>100</v>
      </c>
      <c r="L39" s="21">
        <v>8</v>
      </c>
      <c r="M39" s="23">
        <v>14.46</v>
      </c>
      <c r="N39" s="13" t="s">
        <v>64</v>
      </c>
      <c r="O39" s="10">
        <f>M39*$X$7/1000000</f>
        <v>0.16947120000000002</v>
      </c>
      <c r="P39" s="21">
        <v>0</v>
      </c>
      <c r="Q39" s="21">
        <v>0</v>
      </c>
      <c r="R39" s="10">
        <f>10/L39/K39</f>
        <v>1.2500000000000001E-2</v>
      </c>
      <c r="S39" s="10">
        <f>7/L39/K39</f>
        <v>8.7500000000000008E-3</v>
      </c>
      <c r="T39" s="32"/>
      <c r="U39" s="22">
        <f>(O39+R39+S39)*K39/$T$3</f>
        <v>2.8465850746268666</v>
      </c>
      <c r="V39" s="24">
        <v>3.78</v>
      </c>
      <c r="W39" s="4">
        <f>U39/V39</f>
        <v>0.75306483455737216</v>
      </c>
    </row>
    <row r="40" spans="1:23" ht="15">
      <c r="A40" s="2">
        <v>37</v>
      </c>
      <c r="B40" s="21" t="s">
        <v>53</v>
      </c>
      <c r="C40" s="10">
        <v>1</v>
      </c>
      <c r="D40" s="10" t="s">
        <v>56</v>
      </c>
      <c r="E40" s="21">
        <v>280</v>
      </c>
      <c r="F40" s="21">
        <v>400</v>
      </c>
      <c r="G40" s="10">
        <v>20</v>
      </c>
      <c r="H40" s="31"/>
      <c r="I40" s="31"/>
      <c r="J40" s="10" t="s">
        <v>59</v>
      </c>
      <c r="K40" s="21">
        <v>100</v>
      </c>
      <c r="L40" s="21">
        <v>7</v>
      </c>
      <c r="M40" s="23">
        <v>21.4</v>
      </c>
      <c r="N40" s="13" t="s">
        <v>64</v>
      </c>
      <c r="O40" s="10">
        <f>M40*$X$7/1000000</f>
        <v>0.25080799999999998</v>
      </c>
      <c r="P40" s="21">
        <v>0</v>
      </c>
      <c r="Q40" s="21">
        <v>0</v>
      </c>
      <c r="R40" s="10">
        <f>10/L40/K40</f>
        <v>1.4285714285714285E-2</v>
      </c>
      <c r="S40" s="10">
        <f>7/L40/K40</f>
        <v>0.01</v>
      </c>
      <c r="T40" s="32"/>
      <c r="U40" s="22">
        <f>(O40+R40+S40)*K40/$T$3</f>
        <v>4.1058763326226009</v>
      </c>
      <c r="V40" s="24">
        <v>5.0871428571428572</v>
      </c>
      <c r="W40" s="4">
        <f>U40/V40</f>
        <v>0.80710851806678474</v>
      </c>
    </row>
    <row r="41" spans="1:23" ht="15">
      <c r="A41" s="2">
        <v>38</v>
      </c>
      <c r="B41" s="21" t="s">
        <v>54</v>
      </c>
      <c r="C41" s="10">
        <v>1</v>
      </c>
      <c r="D41" s="10" t="s">
        <v>56</v>
      </c>
      <c r="E41" s="21">
        <v>340</v>
      </c>
      <c r="F41" s="21">
        <v>480</v>
      </c>
      <c r="G41" s="10">
        <v>20</v>
      </c>
      <c r="H41" s="31"/>
      <c r="I41" s="31"/>
      <c r="J41" s="10" t="s">
        <v>59</v>
      </c>
      <c r="K41" s="21">
        <v>100</v>
      </c>
      <c r="L41" s="21">
        <v>5</v>
      </c>
      <c r="M41" s="23">
        <v>28.9</v>
      </c>
      <c r="N41" s="13" t="s">
        <v>64</v>
      </c>
      <c r="O41" s="10">
        <f>M41*$X$7/1000000</f>
        <v>0.33870800000000001</v>
      </c>
      <c r="P41" s="21">
        <v>0</v>
      </c>
      <c r="Q41" s="21">
        <v>0</v>
      </c>
      <c r="R41" s="10">
        <f>10/L41/K41</f>
        <v>0.02</v>
      </c>
      <c r="S41" s="10">
        <f>7/L41/K41</f>
        <v>1.3999999999999999E-2</v>
      </c>
      <c r="T41" s="32"/>
      <c r="U41" s="22">
        <f>(O41+R41+S41)*K41/$T$3</f>
        <v>5.5628059701492534</v>
      </c>
      <c r="V41" s="24">
        <v>7.3620000000000001</v>
      </c>
      <c r="W41" s="4">
        <f>U41/V41</f>
        <v>0.7556106995584424</v>
      </c>
    </row>
    <row r="42" spans="1:23" ht="15">
      <c r="A42" s="2">
        <v>39</v>
      </c>
      <c r="B42" s="21" t="s">
        <v>55</v>
      </c>
      <c r="C42" s="10">
        <v>1</v>
      </c>
      <c r="D42" s="10" t="s">
        <v>56</v>
      </c>
      <c r="E42" s="21">
        <v>400</v>
      </c>
      <c r="F42" s="21">
        <v>560</v>
      </c>
      <c r="G42" s="10">
        <v>20</v>
      </c>
      <c r="H42" s="31"/>
      <c r="I42" s="31"/>
      <c r="J42" s="10" t="s">
        <v>59</v>
      </c>
      <c r="K42" s="21">
        <v>50</v>
      </c>
      <c r="L42" s="21">
        <v>6</v>
      </c>
      <c r="M42" s="23">
        <v>39.5</v>
      </c>
      <c r="N42" s="13" t="s">
        <v>64</v>
      </c>
      <c r="O42" s="10">
        <f>M42*$X$7/1000000</f>
        <v>0.46294000000000002</v>
      </c>
      <c r="P42" s="21">
        <v>0</v>
      </c>
      <c r="Q42" s="21">
        <v>0</v>
      </c>
      <c r="R42" s="10">
        <f>10/L42/K42</f>
        <v>3.3333333333333333E-2</v>
      </c>
      <c r="S42" s="10">
        <f>7/L42/K42</f>
        <v>2.3333333333333334E-2</v>
      </c>
      <c r="T42" s="32"/>
      <c r="U42" s="22">
        <f>(O42+R42+S42)*K42/$T$3</f>
        <v>3.8776616915422886</v>
      </c>
      <c r="V42" s="24">
        <v>5.0249999999999995</v>
      </c>
      <c r="W42" s="4">
        <f>U42/V42</f>
        <v>0.77167396846612712</v>
      </c>
    </row>
  </sheetData>
  <mergeCells count="28">
    <mergeCell ref="H4:H16"/>
    <mergeCell ref="I4:I16"/>
    <mergeCell ref="H17:H29"/>
    <mergeCell ref="I17:I29"/>
    <mergeCell ref="H30:H42"/>
    <mergeCell ref="I30:I42"/>
    <mergeCell ref="O2:O3"/>
    <mergeCell ref="P2:P3"/>
    <mergeCell ref="Q2:Q3"/>
    <mergeCell ref="R2:S2"/>
    <mergeCell ref="T3:T42"/>
    <mergeCell ref="W1:W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A1:I1"/>
    <mergeCell ref="J1:L1"/>
    <mergeCell ref="O1:S1"/>
    <mergeCell ref="T1:T2"/>
    <mergeCell ref="K2:L2"/>
    <mergeCell ref="M2:M3"/>
    <mergeCell ref="N2:N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双筋条</vt:lpstr>
      <vt:lpstr>单筋条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刘晓东</dc:creator>
  <cp:lastModifiedBy>晓东 刘</cp:lastModifiedBy>
  <dcterms:created xsi:type="dcterms:W3CDTF">2015-06-05T18:19:34Z</dcterms:created>
  <dcterms:modified xsi:type="dcterms:W3CDTF">2026-10-26T09:25:47Z</dcterms:modified>
</cp:coreProperties>
</file>